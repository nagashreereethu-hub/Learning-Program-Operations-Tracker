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gashree M\Downloads\"/>
    </mc:Choice>
  </mc:AlternateContent>
  <xr:revisionPtr revIDLastSave="0" documentId="8_{0A6314A9-8481-4BE5-A755-351F7247C837}" xr6:coauthVersionLast="47" xr6:coauthVersionMax="47" xr10:uidLastSave="{00000000-0000-0000-0000-000000000000}"/>
  <bookViews>
    <workbookView xWindow="-108" yWindow="-108" windowWidth="23256" windowHeight="12456" tabRatio="500" firstSheet="3" activeTab="3" xr2:uid="{00000000-000D-0000-FFFF-FFFF00000000}"/>
  </bookViews>
  <sheets>
    <sheet name="Read Me" sheetId="1" r:id="rId1"/>
    <sheet name="Learning Operations Dashboard" sheetId="2" r:id="rId2"/>
    <sheet name="Raw Data" sheetId="3" r:id="rId3"/>
    <sheet name="Registration Tracker" sheetId="4" r:id="rId4"/>
    <sheet name="Course Schedule" sheetId="5" r:id="rId5"/>
    <sheet name="Attendance Tracker" sheetId="6" r:id="rId6"/>
    <sheet name="Completion Dashboard" sheetId="7" r:id="rId7"/>
    <sheet name="Exception &amp; Action Tracker" sheetId="8" r:id="rId8"/>
  </sheets>
  <definedNames>
    <definedName name="_xlnm._FilterDatabase" localSheetId="2" hidden="1">'Raw Data'!$A$1:$L$201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2" i="2" l="1"/>
  <c r="H5" i="4"/>
  <c r="H6" i="4"/>
  <c r="H7" i="4"/>
  <c r="H8" i="4"/>
  <c r="H9" i="4"/>
  <c r="H10" i="4"/>
  <c r="H4" i="4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11" i="5"/>
  <c r="E8" i="2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G10" i="7"/>
  <c r="I10" i="7" s="1"/>
  <c r="E10" i="7"/>
  <c r="D10" i="7"/>
  <c r="B10" i="7"/>
  <c r="F10" i="7" s="1"/>
  <c r="H10" i="7" s="1"/>
  <c r="G9" i="7"/>
  <c r="E9" i="7"/>
  <c r="D9" i="7"/>
  <c r="C9" i="7"/>
  <c r="B9" i="7"/>
  <c r="H8" i="7"/>
  <c r="G8" i="7"/>
  <c r="E8" i="7"/>
  <c r="F8" i="7" s="1"/>
  <c r="D17" i="2" s="1"/>
  <c r="D8" i="7"/>
  <c r="C8" i="7"/>
  <c r="B8" i="7"/>
  <c r="G7" i="7"/>
  <c r="F7" i="7"/>
  <c r="D16" i="2" s="1"/>
  <c r="E7" i="7"/>
  <c r="D7" i="7"/>
  <c r="C7" i="7"/>
  <c r="B7" i="7"/>
  <c r="I7" i="7" s="1"/>
  <c r="G6" i="7"/>
  <c r="F6" i="7"/>
  <c r="D15" i="2" s="1"/>
  <c r="E6" i="7"/>
  <c r="D6" i="7"/>
  <c r="C6" i="7"/>
  <c r="B6" i="7"/>
  <c r="G5" i="7"/>
  <c r="E5" i="7"/>
  <c r="D5" i="7"/>
  <c r="C5" i="7"/>
  <c r="B5" i="7"/>
  <c r="I4" i="7"/>
  <c r="G4" i="7"/>
  <c r="E4" i="7"/>
  <c r="D4" i="7"/>
  <c r="C4" i="7"/>
  <c r="C10" i="7" s="1"/>
  <c r="B4" i="7"/>
  <c r="D9" i="6"/>
  <c r="C9" i="6"/>
  <c r="B9" i="6"/>
  <c r="D8" i="6"/>
  <c r="C8" i="6"/>
  <c r="B8" i="6"/>
  <c r="D7" i="6"/>
  <c r="C7" i="6"/>
  <c r="F7" i="6" s="1"/>
  <c r="B7" i="6"/>
  <c r="E7" i="6" s="1"/>
  <c r="D6" i="6"/>
  <c r="C6" i="6"/>
  <c r="F6" i="6" s="1"/>
  <c r="B6" i="6"/>
  <c r="D5" i="6"/>
  <c r="C5" i="6"/>
  <c r="B5" i="6"/>
  <c r="E5" i="6" s="1"/>
  <c r="C14" i="2" s="1"/>
  <c r="E4" i="6"/>
  <c r="G4" i="6" s="1"/>
  <c r="D4" i="6"/>
  <c r="C4" i="6"/>
  <c r="F4" i="6" s="1"/>
  <c r="B4" i="6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G10" i="5"/>
  <c r="H10" i="5" s="1"/>
  <c r="E10" i="5"/>
  <c r="E9" i="5"/>
  <c r="G9" i="5" s="1"/>
  <c r="H9" i="5" s="1"/>
  <c r="H8" i="5"/>
  <c r="G8" i="5"/>
  <c r="E8" i="5"/>
  <c r="E7" i="5"/>
  <c r="G7" i="5" s="1"/>
  <c r="H7" i="5" s="1"/>
  <c r="E6" i="5"/>
  <c r="G6" i="5" s="1"/>
  <c r="H6" i="5" s="1"/>
  <c r="E5" i="5"/>
  <c r="G5" i="5" s="1"/>
  <c r="H5" i="5" s="1"/>
  <c r="G4" i="5"/>
  <c r="H4" i="5" s="1"/>
  <c r="E4" i="5"/>
  <c r="E39" i="4"/>
  <c r="D39" i="4"/>
  <c r="C39" i="4"/>
  <c r="E38" i="4"/>
  <c r="D38" i="4"/>
  <c r="C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B10" i="4"/>
  <c r="D9" i="4"/>
  <c r="C9" i="4"/>
  <c r="B9" i="4"/>
  <c r="D8" i="4"/>
  <c r="E8" i="4" s="1"/>
  <c r="F8" i="4" s="1"/>
  <c r="C8" i="4"/>
  <c r="B8" i="4"/>
  <c r="D7" i="4"/>
  <c r="C7" i="4"/>
  <c r="B7" i="4"/>
  <c r="D6" i="4"/>
  <c r="C6" i="4"/>
  <c r="B6" i="4"/>
  <c r="D5" i="4"/>
  <c r="C5" i="4"/>
  <c r="C10" i="4" s="1"/>
  <c r="B5" i="4"/>
  <c r="D4" i="4"/>
  <c r="C4" i="4"/>
  <c r="B4" i="4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J103" i="8" s="1"/>
  <c r="L2" i="3"/>
  <c r="A25" i="2"/>
  <c r="A24" i="2"/>
  <c r="E18" i="2"/>
  <c r="B17" i="2"/>
  <c r="E16" i="2"/>
  <c r="E15" i="2"/>
  <c r="E14" i="2"/>
  <c r="E13" i="2"/>
  <c r="C13" i="2"/>
  <c r="C8" i="2"/>
  <c r="A8" i="2"/>
  <c r="C5" i="2"/>
  <c r="E5" i="2" s="1"/>
  <c r="A5" i="2"/>
  <c r="C16" i="2" l="1"/>
  <c r="G7" i="6"/>
  <c r="B6" i="8"/>
  <c r="C21" i="8"/>
  <c r="E24" i="8"/>
  <c r="C28" i="8"/>
  <c r="F32" i="8"/>
  <c r="D36" i="8"/>
  <c r="J39" i="8"/>
  <c r="B57" i="8"/>
  <c r="F61" i="8"/>
  <c r="C65" i="8"/>
  <c r="G73" i="8"/>
  <c r="C78" i="8"/>
  <c r="J95" i="8"/>
  <c r="F9" i="6"/>
  <c r="C6" i="8"/>
  <c r="B9" i="8"/>
  <c r="J14" i="8"/>
  <c r="D18" i="8"/>
  <c r="G24" i="8"/>
  <c r="J36" i="8"/>
  <c r="C44" i="8"/>
  <c r="C48" i="8"/>
  <c r="G52" i="8"/>
  <c r="C57" i="8"/>
  <c r="G61" i="8"/>
  <c r="E70" i="8"/>
  <c r="E78" i="8"/>
  <c r="E83" i="8"/>
  <c r="F87" i="8"/>
  <c r="D6" i="8"/>
  <c r="C9" i="8"/>
  <c r="D12" i="8"/>
  <c r="E18" i="8"/>
  <c r="B29" i="8"/>
  <c r="C33" i="8"/>
  <c r="E66" i="8"/>
  <c r="F83" i="8"/>
  <c r="J87" i="8"/>
  <c r="J96" i="8"/>
  <c r="C10" i="6"/>
  <c r="F10" i="6" s="1"/>
  <c r="D9" i="8"/>
  <c r="E12" i="8"/>
  <c r="G22" i="8"/>
  <c r="D25" i="8"/>
  <c r="F37" i="8"/>
  <c r="C45" i="8"/>
  <c r="F58" i="8"/>
  <c r="J61" i="8"/>
  <c r="B71" i="8"/>
  <c r="F9" i="8"/>
  <c r="G12" i="8"/>
  <c r="J18" i="8"/>
  <c r="B34" i="8"/>
  <c r="G37" i="8"/>
  <c r="G45" i="8"/>
  <c r="G49" i="8"/>
  <c r="J66" i="8"/>
  <c r="C71" i="8"/>
  <c r="J83" i="8"/>
  <c r="J97" i="8"/>
  <c r="B102" i="8"/>
  <c r="D10" i="4"/>
  <c r="E7" i="8"/>
  <c r="C16" i="8"/>
  <c r="B30" i="8"/>
  <c r="D34" i="8"/>
  <c r="J37" i="8"/>
  <c r="B54" i="8"/>
  <c r="E59" i="8"/>
  <c r="G71" i="8"/>
  <c r="J75" i="8"/>
  <c r="B80" i="8"/>
  <c r="G88" i="8"/>
  <c r="C93" i="8"/>
  <c r="E7" i="4"/>
  <c r="G7" i="4" s="1"/>
  <c r="F7" i="8"/>
  <c r="B10" i="8"/>
  <c r="J12" i="8"/>
  <c r="G16" i="8"/>
  <c r="E26" i="8"/>
  <c r="C30" i="8"/>
  <c r="E34" i="8"/>
  <c r="J41" i="8"/>
  <c r="C46" i="8"/>
  <c r="C54" i="8"/>
  <c r="F59" i="8"/>
  <c r="J84" i="8"/>
  <c r="D93" i="8"/>
  <c r="E98" i="8"/>
  <c r="C103" i="8"/>
  <c r="J104" i="8"/>
  <c r="G101" i="8"/>
  <c r="F100" i="8"/>
  <c r="E99" i="8"/>
  <c r="D98" i="8"/>
  <c r="C97" i="8"/>
  <c r="B96" i="8"/>
  <c r="J92" i="8"/>
  <c r="G89" i="8"/>
  <c r="F88" i="8"/>
  <c r="E87" i="8"/>
  <c r="D86" i="8"/>
  <c r="C85" i="8"/>
  <c r="B84" i="8"/>
  <c r="J80" i="8"/>
  <c r="G77" i="8"/>
  <c r="F76" i="8"/>
  <c r="E75" i="8"/>
  <c r="D74" i="8"/>
  <c r="C73" i="8"/>
  <c r="B72" i="8"/>
  <c r="J68" i="8"/>
  <c r="G65" i="8"/>
  <c r="F64" i="8"/>
  <c r="E63" i="8"/>
  <c r="D62" i="8"/>
  <c r="C61" i="8"/>
  <c r="B60" i="8"/>
  <c r="J56" i="8"/>
  <c r="G53" i="8"/>
  <c r="F52" i="8"/>
  <c r="E51" i="8"/>
  <c r="D50" i="8"/>
  <c r="C49" i="8"/>
  <c r="B48" i="8"/>
  <c r="J44" i="8"/>
  <c r="G41" i="8"/>
  <c r="F40" i="8"/>
  <c r="E39" i="8"/>
  <c r="D38" i="8"/>
  <c r="C37" i="8"/>
  <c r="B36" i="8"/>
  <c r="J32" i="8"/>
  <c r="G29" i="8"/>
  <c r="F28" i="8"/>
  <c r="E27" i="8"/>
  <c r="D26" i="8"/>
  <c r="C25" i="8"/>
  <c r="B24" i="8"/>
  <c r="J20" i="8"/>
  <c r="G17" i="8"/>
  <c r="F16" i="8"/>
  <c r="E15" i="8"/>
  <c r="D14" i="8"/>
  <c r="C13" i="8"/>
  <c r="B12" i="8"/>
  <c r="J105" i="8"/>
  <c r="G102" i="8"/>
  <c r="F101" i="8"/>
  <c r="E100" i="8"/>
  <c r="D99" i="8"/>
  <c r="C98" i="8"/>
  <c r="B97" i="8"/>
  <c r="J93" i="8"/>
  <c r="G90" i="8"/>
  <c r="F89" i="8"/>
  <c r="E88" i="8"/>
  <c r="D87" i="8"/>
  <c r="C86" i="8"/>
  <c r="B85" i="8"/>
  <c r="J81" i="8"/>
  <c r="G78" i="8"/>
  <c r="F77" i="8"/>
  <c r="E76" i="8"/>
  <c r="D75" i="8"/>
  <c r="C74" i="8"/>
  <c r="B73" i="8"/>
  <c r="J69" i="8"/>
  <c r="G66" i="8"/>
  <c r="F65" i="8"/>
  <c r="E64" i="8"/>
  <c r="D63" i="8"/>
  <c r="C62" i="8"/>
  <c r="B61" i="8"/>
  <c r="J57" i="8"/>
  <c r="G54" i="8"/>
  <c r="F53" i="8"/>
  <c r="E52" i="8"/>
  <c r="D51" i="8"/>
  <c r="C50" i="8"/>
  <c r="B49" i="8"/>
  <c r="J45" i="8"/>
  <c r="G42" i="8"/>
  <c r="F41" i="8"/>
  <c r="E40" i="8"/>
  <c r="D39" i="8"/>
  <c r="C38" i="8"/>
  <c r="B37" i="8"/>
  <c r="J33" i="8"/>
  <c r="G30" i="8"/>
  <c r="F29" i="8"/>
  <c r="E28" i="8"/>
  <c r="D27" i="8"/>
  <c r="C26" i="8"/>
  <c r="B25" i="8"/>
  <c r="J21" i="8"/>
  <c r="G18" i="8"/>
  <c r="F17" i="8"/>
  <c r="E16" i="8"/>
  <c r="D15" i="8"/>
  <c r="C14" i="8"/>
  <c r="B13" i="8"/>
  <c r="G103" i="8"/>
  <c r="F102" i="8"/>
  <c r="E101" i="8"/>
  <c r="D100" i="8"/>
  <c r="C99" i="8"/>
  <c r="B98" i="8"/>
  <c r="J94" i="8"/>
  <c r="G91" i="8"/>
  <c r="F90" i="8"/>
  <c r="E89" i="8"/>
  <c r="D88" i="8"/>
  <c r="C87" i="8"/>
  <c r="B86" i="8"/>
  <c r="J82" i="8"/>
  <c r="G79" i="8"/>
  <c r="F78" i="8"/>
  <c r="E77" i="8"/>
  <c r="D76" i="8"/>
  <c r="C75" i="8"/>
  <c r="B74" i="8"/>
  <c r="J70" i="8"/>
  <c r="G67" i="8"/>
  <c r="F66" i="8"/>
  <c r="E65" i="8"/>
  <c r="D64" i="8"/>
  <c r="C63" i="8"/>
  <c r="B62" i="8"/>
  <c r="J58" i="8"/>
  <c r="G55" i="8"/>
  <c r="F54" i="8"/>
  <c r="E53" i="8"/>
  <c r="D52" i="8"/>
  <c r="C51" i="8"/>
  <c r="B50" i="8"/>
  <c r="J46" i="8"/>
  <c r="G43" i="8"/>
  <c r="F42" i="8"/>
  <c r="E41" i="8"/>
  <c r="D40" i="8"/>
  <c r="C39" i="8"/>
  <c r="B38" i="8"/>
  <c r="J34" i="8"/>
  <c r="G31" i="8"/>
  <c r="F30" i="8"/>
  <c r="E29" i="8"/>
  <c r="D28" i="8"/>
  <c r="C27" i="8"/>
  <c r="B26" i="8"/>
  <c r="J22" i="8"/>
  <c r="G19" i="8"/>
  <c r="F18" i="8"/>
  <c r="E17" i="8"/>
  <c r="D16" i="8"/>
  <c r="C15" i="8"/>
  <c r="B14" i="8"/>
  <c r="J10" i="8"/>
  <c r="G7" i="8"/>
  <c r="F6" i="8"/>
  <c r="E5" i="8"/>
  <c r="D104" i="8"/>
  <c r="D101" i="8"/>
  <c r="G98" i="8"/>
  <c r="F94" i="8"/>
  <c r="B93" i="8"/>
  <c r="F91" i="8"/>
  <c r="B90" i="8"/>
  <c r="B87" i="8"/>
  <c r="F84" i="8"/>
  <c r="C83" i="8"/>
  <c r="D80" i="8"/>
  <c r="D77" i="8"/>
  <c r="G74" i="8"/>
  <c r="F70" i="8"/>
  <c r="B69" i="8"/>
  <c r="F67" i="8"/>
  <c r="B66" i="8"/>
  <c r="B63" i="8"/>
  <c r="F60" i="8"/>
  <c r="C59" i="8"/>
  <c r="D56" i="8"/>
  <c r="D53" i="8"/>
  <c r="G50" i="8"/>
  <c r="F46" i="8"/>
  <c r="B45" i="8"/>
  <c r="F43" i="8"/>
  <c r="B42" i="8"/>
  <c r="B39" i="8"/>
  <c r="F36" i="8"/>
  <c r="C35" i="8"/>
  <c r="D32" i="8"/>
  <c r="D29" i="8"/>
  <c r="G26" i="8"/>
  <c r="F22" i="8"/>
  <c r="B21" i="8"/>
  <c r="F19" i="8"/>
  <c r="B18" i="8"/>
  <c r="B15" i="8"/>
  <c r="F12" i="8"/>
  <c r="C11" i="8"/>
  <c r="J8" i="8"/>
  <c r="E6" i="8"/>
  <c r="C5" i="8"/>
  <c r="G105" i="8"/>
  <c r="C104" i="8"/>
  <c r="J102" i="8"/>
  <c r="C101" i="8"/>
  <c r="J99" i="8"/>
  <c r="F98" i="8"/>
  <c r="E94" i="8"/>
  <c r="E91" i="8"/>
  <c r="E84" i="8"/>
  <c r="B83" i="8"/>
  <c r="G81" i="8"/>
  <c r="C80" i="8"/>
  <c r="J78" i="8"/>
  <c r="D105" i="8"/>
  <c r="D102" i="8"/>
  <c r="G99" i="8"/>
  <c r="E95" i="8"/>
  <c r="B94" i="8"/>
  <c r="F92" i="8"/>
  <c r="B91" i="8"/>
  <c r="B88" i="8"/>
  <c r="E85" i="8"/>
  <c r="D81" i="8"/>
  <c r="D78" i="8"/>
  <c r="G75" i="8"/>
  <c r="E71" i="8"/>
  <c r="B70" i="8"/>
  <c r="F68" i="8"/>
  <c r="B67" i="8"/>
  <c r="B64" i="8"/>
  <c r="E61" i="8"/>
  <c r="D57" i="8"/>
  <c r="D54" i="8"/>
  <c r="G51" i="8"/>
  <c r="E47" i="8"/>
  <c r="B46" i="8"/>
  <c r="F44" i="8"/>
  <c r="B43" i="8"/>
  <c r="B40" i="8"/>
  <c r="E37" i="8"/>
  <c r="D33" i="8"/>
  <c r="D30" i="8"/>
  <c r="G27" i="8"/>
  <c r="E23" i="8"/>
  <c r="B22" i="8"/>
  <c r="F20" i="8"/>
  <c r="B19" i="8"/>
  <c r="B16" i="8"/>
  <c r="E13" i="8"/>
  <c r="G9" i="8"/>
  <c r="E8" i="8"/>
  <c r="C7" i="8"/>
  <c r="F105" i="8"/>
  <c r="F103" i="8"/>
  <c r="J101" i="8"/>
  <c r="D96" i="8"/>
  <c r="G94" i="8"/>
  <c r="G92" i="8"/>
  <c r="J90" i="8"/>
  <c r="D85" i="8"/>
  <c r="B82" i="8"/>
  <c r="C76" i="8"/>
  <c r="F71" i="8"/>
  <c r="B68" i="8"/>
  <c r="D66" i="8"/>
  <c r="J62" i="8"/>
  <c r="C58" i="8"/>
  <c r="E56" i="8"/>
  <c r="J52" i="8"/>
  <c r="F49" i="8"/>
  <c r="E46" i="8"/>
  <c r="G44" i="8"/>
  <c r="B41" i="8"/>
  <c r="G39" i="8"/>
  <c r="C36" i="8"/>
  <c r="G34" i="8"/>
  <c r="C31" i="8"/>
  <c r="J25" i="8"/>
  <c r="F24" i="8"/>
  <c r="D21" i="8"/>
  <c r="E19" i="8"/>
  <c r="J17" i="8"/>
  <c r="E14" i="8"/>
  <c r="D11" i="8"/>
  <c r="F8" i="8"/>
  <c r="E105" i="8"/>
  <c r="E103" i="8"/>
  <c r="C96" i="8"/>
  <c r="D94" i="8"/>
  <c r="E92" i="8"/>
  <c r="G83" i="8"/>
  <c r="J79" i="8"/>
  <c r="B76" i="8"/>
  <c r="F74" i="8"/>
  <c r="J72" i="8"/>
  <c r="D71" i="8"/>
  <c r="G69" i="8"/>
  <c r="C66" i="8"/>
  <c r="G64" i="8"/>
  <c r="G59" i="8"/>
  <c r="B58" i="8"/>
  <c r="C56" i="8"/>
  <c r="E54" i="8"/>
  <c r="E49" i="8"/>
  <c r="B103" i="8"/>
  <c r="E97" i="8"/>
  <c r="G95" i="8"/>
  <c r="B92" i="8"/>
  <c r="C90" i="8"/>
  <c r="C88" i="8"/>
  <c r="G86" i="8"/>
  <c r="D83" i="8"/>
  <c r="C81" i="8"/>
  <c r="D79" i="8"/>
  <c r="J73" i="8"/>
  <c r="F72" i="8"/>
  <c r="D69" i="8"/>
  <c r="E67" i="8"/>
  <c r="J65" i="8"/>
  <c r="E62" i="8"/>
  <c r="D59" i="8"/>
  <c r="F57" i="8"/>
  <c r="J55" i="8"/>
  <c r="C52" i="8"/>
  <c r="F47" i="8"/>
  <c r="B44" i="8"/>
  <c r="D42" i="8"/>
  <c r="J38" i="8"/>
  <c r="C34" i="8"/>
  <c r="E32" i="8"/>
  <c r="J28" i="8"/>
  <c r="F25" i="8"/>
  <c r="E22" i="8"/>
  <c r="G20" i="8"/>
  <c r="B17" i="8"/>
  <c r="G15" i="8"/>
  <c r="C12" i="8"/>
  <c r="E9" i="8"/>
  <c r="D5" i="8"/>
  <c r="J100" i="8"/>
  <c r="D97" i="8"/>
  <c r="F95" i="8"/>
  <c r="G93" i="8"/>
  <c r="F86" i="8"/>
  <c r="B81" i="8"/>
  <c r="C79" i="8"/>
  <c r="C77" i="8"/>
  <c r="E72" i="8"/>
  <c r="C69" i="8"/>
  <c r="D67" i="8"/>
  <c r="J63" i="8"/>
  <c r="G60" i="8"/>
  <c r="B59" i="8"/>
  <c r="E57" i="8"/>
  <c r="F55" i="8"/>
  <c r="B52" i="8"/>
  <c r="F50" i="8"/>
  <c r="C105" i="8"/>
  <c r="C100" i="8"/>
  <c r="G97" i="8"/>
  <c r="B95" i="8"/>
  <c r="D92" i="8"/>
  <c r="F85" i="8"/>
  <c r="G80" i="8"/>
  <c r="B78" i="8"/>
  <c r="F75" i="8"/>
  <c r="D73" i="8"/>
  <c r="E68" i="8"/>
  <c r="G63" i="8"/>
  <c r="D61" i="8"/>
  <c r="G56" i="8"/>
  <c r="D49" i="8"/>
  <c r="G47" i="8"/>
  <c r="F45" i="8"/>
  <c r="E43" i="8"/>
  <c r="D41" i="8"/>
  <c r="F39" i="8"/>
  <c r="D37" i="8"/>
  <c r="G35" i="8"/>
  <c r="G33" i="8"/>
  <c r="J31" i="8"/>
  <c r="J29" i="8"/>
  <c r="D22" i="8"/>
  <c r="C20" i="8"/>
  <c r="C18" i="8"/>
  <c r="E10" i="8"/>
  <c r="D7" i="8"/>
  <c r="J5" i="8"/>
  <c r="G82" i="8"/>
  <c r="J77" i="8"/>
  <c r="G70" i="8"/>
  <c r="C68" i="8"/>
  <c r="D65" i="8"/>
  <c r="G58" i="8"/>
  <c r="B56" i="8"/>
  <c r="B51" i="8"/>
  <c r="C47" i="8"/>
  <c r="C43" i="8"/>
  <c r="E35" i="8"/>
  <c r="E33" i="8"/>
  <c r="E31" i="8"/>
  <c r="C29" i="8"/>
  <c r="E25" i="8"/>
  <c r="C10" i="8"/>
  <c r="G5" i="8"/>
  <c r="B105" i="8"/>
  <c r="E102" i="8"/>
  <c r="B100" i="8"/>
  <c r="F97" i="8"/>
  <c r="C92" i="8"/>
  <c r="J89" i="8"/>
  <c r="F80" i="8"/>
  <c r="B75" i="8"/>
  <c r="D68" i="8"/>
  <c r="F63" i="8"/>
  <c r="F56" i="8"/>
  <c r="J53" i="8"/>
  <c r="F51" i="8"/>
  <c r="D47" i="8"/>
  <c r="E45" i="8"/>
  <c r="D43" i="8"/>
  <c r="C41" i="8"/>
  <c r="F35" i="8"/>
  <c r="F33" i="8"/>
  <c r="F31" i="8"/>
  <c r="F27" i="8"/>
  <c r="G25" i="8"/>
  <c r="J23" i="8"/>
  <c r="C22" i="8"/>
  <c r="B20" i="8"/>
  <c r="J15" i="8"/>
  <c r="J13" i="8"/>
  <c r="J11" i="8"/>
  <c r="D10" i="8"/>
  <c r="B7" i="8"/>
  <c r="C102" i="8"/>
  <c r="G87" i="8"/>
  <c r="E80" i="8"/>
  <c r="J60" i="8"/>
  <c r="J48" i="8"/>
  <c r="D45" i="8"/>
  <c r="B27" i="8"/>
  <c r="G13" i="8"/>
  <c r="G8" i="8"/>
  <c r="F104" i="8"/>
  <c r="B99" i="8"/>
  <c r="C94" i="8"/>
  <c r="J91" i="8"/>
  <c r="C89" i="8"/>
  <c r="G84" i="8"/>
  <c r="E82" i="8"/>
  <c r="B77" i="8"/>
  <c r="J74" i="8"/>
  <c r="D72" i="8"/>
  <c r="D70" i="8"/>
  <c r="B65" i="8"/>
  <c r="G62" i="8"/>
  <c r="E60" i="8"/>
  <c r="E58" i="8"/>
  <c r="E55" i="8"/>
  <c r="C53" i="8"/>
  <c r="J50" i="8"/>
  <c r="G48" i="8"/>
  <c r="J42" i="8"/>
  <c r="J40" i="8"/>
  <c r="G38" i="8"/>
  <c r="B35" i="8"/>
  <c r="B33" i="8"/>
  <c r="B31" i="8"/>
  <c r="F23" i="8"/>
  <c r="G21" i="8"/>
  <c r="J19" i="8"/>
  <c r="D17" i="8"/>
  <c r="F15" i="8"/>
  <c r="D13" i="8"/>
  <c r="G11" i="8"/>
  <c r="C8" i="8"/>
  <c r="J6" i="8"/>
  <c r="B5" i="8"/>
  <c r="E104" i="8"/>
  <c r="G96" i="8"/>
  <c r="D91" i="8"/>
  <c r="B89" i="8"/>
  <c r="J86" i="8"/>
  <c r="D84" i="8"/>
  <c r="D82" i="8"/>
  <c r="F79" i="8"/>
  <c r="C72" i="8"/>
  <c r="C70" i="8"/>
  <c r="J67" i="8"/>
  <c r="F62" i="8"/>
  <c r="D60" i="8"/>
  <c r="D58" i="8"/>
  <c r="D55" i="8"/>
  <c r="B53" i="8"/>
  <c r="F48" i="8"/>
  <c r="G40" i="8"/>
  <c r="F38" i="8"/>
  <c r="J26" i="8"/>
  <c r="D23" i="8"/>
  <c r="F21" i="8"/>
  <c r="D19" i="8"/>
  <c r="C17" i="8"/>
  <c r="F11" i="8"/>
  <c r="J9" i="8"/>
  <c r="B8" i="8"/>
  <c r="B104" i="8"/>
  <c r="J98" i="8"/>
  <c r="F96" i="8"/>
  <c r="F93" i="8"/>
  <c r="C91" i="8"/>
  <c r="C84" i="8"/>
  <c r="C82" i="8"/>
  <c r="E79" i="8"/>
  <c r="J76" i="8"/>
  <c r="E74" i="8"/>
  <c r="C67" i="8"/>
  <c r="C60" i="8"/>
  <c r="C55" i="8"/>
  <c r="E50" i="8"/>
  <c r="E48" i="8"/>
  <c r="E44" i="8"/>
  <c r="E42" i="8"/>
  <c r="C40" i="8"/>
  <c r="E38" i="8"/>
  <c r="G36" i="8"/>
  <c r="J30" i="8"/>
  <c r="J24" i="8"/>
  <c r="C23" i="8"/>
  <c r="E21" i="8"/>
  <c r="C19" i="8"/>
  <c r="E11" i="8"/>
  <c r="G6" i="8"/>
  <c r="B101" i="8"/>
  <c r="E96" i="8"/>
  <c r="E93" i="8"/>
  <c r="J88" i="8"/>
  <c r="E86" i="8"/>
  <c r="B79" i="8"/>
  <c r="J71" i="8"/>
  <c r="F69" i="8"/>
  <c r="J64" i="8"/>
  <c r="G57" i="8"/>
  <c r="B55" i="8"/>
  <c r="D48" i="8"/>
  <c r="G46" i="8"/>
  <c r="D44" i="8"/>
  <c r="C42" i="8"/>
  <c r="E36" i="8"/>
  <c r="F34" i="8"/>
  <c r="G32" i="8"/>
  <c r="E30" i="8"/>
  <c r="G28" i="8"/>
  <c r="H6" i="7"/>
  <c r="F10" i="8"/>
  <c r="B23" i="8"/>
  <c r="F26" i="8"/>
  <c r="D46" i="8"/>
  <c r="J49" i="8"/>
  <c r="J54" i="8"/>
  <c r="G76" i="8"/>
  <c r="D89" i="8"/>
  <c r="D103" i="8"/>
  <c r="G10" i="8"/>
  <c r="J16" i="8"/>
  <c r="D31" i="8"/>
  <c r="E5" i="4"/>
  <c r="F5" i="4" s="1"/>
  <c r="B14" i="2" s="1"/>
  <c r="E20" i="8"/>
  <c r="J27" i="8"/>
  <c r="B47" i="8"/>
  <c r="F81" i="8"/>
  <c r="J85" i="8"/>
  <c r="D90" i="8"/>
  <c r="F99" i="8"/>
  <c r="J7" i="8"/>
  <c r="D20" i="8"/>
  <c r="E8" i="6"/>
  <c r="C17" i="2" s="1"/>
  <c r="G8" i="6"/>
  <c r="F5" i="8"/>
  <c r="G5" i="6"/>
  <c r="F5" i="6"/>
  <c r="I5" i="7"/>
  <c r="F5" i="7"/>
  <c r="F14" i="8"/>
  <c r="C24" i="8"/>
  <c r="B32" i="8"/>
  <c r="J35" i="8"/>
  <c r="J43" i="8"/>
  <c r="C64" i="8"/>
  <c r="E73" i="8"/>
  <c r="E90" i="8"/>
  <c r="C95" i="8"/>
  <c r="G104" i="8"/>
  <c r="E17" i="2"/>
  <c r="I8" i="7"/>
  <c r="F13" i="8"/>
  <c r="G23" i="8"/>
  <c r="D35" i="8"/>
  <c r="J59" i="8"/>
  <c r="G68" i="8"/>
  <c r="G72" i="8"/>
  <c r="E81" i="8"/>
  <c r="G85" i="8"/>
  <c r="E6" i="4"/>
  <c r="G6" i="4" s="1"/>
  <c r="E9" i="4"/>
  <c r="D8" i="8"/>
  <c r="B11" i="8"/>
  <c r="G14" i="8"/>
  <c r="D24" i="8"/>
  <c r="B28" i="8"/>
  <c r="C32" i="8"/>
  <c r="J47" i="8"/>
  <c r="J51" i="8"/>
  <c r="E69" i="8"/>
  <c r="F73" i="8"/>
  <c r="F82" i="8"/>
  <c r="D95" i="8"/>
  <c r="G100" i="8"/>
  <c r="F9" i="7"/>
  <c r="D18" i="2" s="1"/>
  <c r="G8" i="4"/>
  <c r="F8" i="6"/>
  <c r="H7" i="7"/>
  <c r="H9" i="7"/>
  <c r="E6" i="6"/>
  <c r="C15" i="2" s="1"/>
  <c r="H4" i="7"/>
  <c r="I6" i="7"/>
  <c r="B10" i="6"/>
  <c r="E10" i="6" s="1"/>
  <c r="G10" i="6" s="1"/>
  <c r="E4" i="4"/>
  <c r="D10" i="6"/>
  <c r="E9" i="6"/>
  <c r="C18" i="2" s="1"/>
  <c r="F4" i="7"/>
  <c r="D13" i="2" s="1"/>
  <c r="I9" i="7"/>
  <c r="E10" i="4" l="1"/>
  <c r="G4" i="4"/>
  <c r="F4" i="4"/>
  <c r="B13" i="2" s="1"/>
  <c r="H48" i="8"/>
  <c r="K48" i="8"/>
  <c r="I48" i="8"/>
  <c r="K70" i="8"/>
  <c r="I70" i="8"/>
  <c r="H70" i="8"/>
  <c r="K81" i="8"/>
  <c r="I81" i="8"/>
  <c r="H81" i="8"/>
  <c r="H42" i="8"/>
  <c r="K42" i="8"/>
  <c r="I42" i="8"/>
  <c r="I84" i="8"/>
  <c r="H84" i="8"/>
  <c r="K84" i="8"/>
  <c r="F7" i="4"/>
  <c r="B16" i="2" s="1"/>
  <c r="I40" i="8"/>
  <c r="H40" i="8"/>
  <c r="K40" i="8"/>
  <c r="K60" i="8"/>
  <c r="H60" i="8"/>
  <c r="I60" i="8"/>
  <c r="I19" i="8"/>
  <c r="H19" i="8"/>
  <c r="K19" i="8"/>
  <c r="K53" i="8"/>
  <c r="I53" i="8"/>
  <c r="H53" i="8"/>
  <c r="K35" i="8"/>
  <c r="H35" i="8"/>
  <c r="I35" i="8"/>
  <c r="K95" i="8"/>
  <c r="I95" i="8"/>
  <c r="H95" i="8"/>
  <c r="H6" i="8"/>
  <c r="I6" i="8"/>
  <c r="K6" i="8"/>
  <c r="K82" i="8"/>
  <c r="H82" i="8"/>
  <c r="I82" i="8"/>
  <c r="K94" i="8"/>
  <c r="I94" i="8"/>
  <c r="H94" i="8"/>
  <c r="I79" i="8"/>
  <c r="H79" i="8"/>
  <c r="K79" i="8"/>
  <c r="H66" i="8"/>
  <c r="K66" i="8"/>
  <c r="I66" i="8"/>
  <c r="G5" i="4"/>
  <c r="K21" i="8"/>
  <c r="I21" i="8"/>
  <c r="H21" i="8"/>
  <c r="K83" i="8"/>
  <c r="H83" i="8"/>
  <c r="I83" i="8"/>
  <c r="I55" i="8"/>
  <c r="H55" i="8"/>
  <c r="K55" i="8"/>
  <c r="F6" i="4"/>
  <c r="B15" i="2" s="1"/>
  <c r="I92" i="8"/>
  <c r="H92" i="8"/>
  <c r="K92" i="8"/>
  <c r="I85" i="8"/>
  <c r="H85" i="8"/>
  <c r="K85" i="8"/>
  <c r="K98" i="8"/>
  <c r="I98" i="8"/>
  <c r="H98" i="8"/>
  <c r="H72" i="8"/>
  <c r="K72" i="8"/>
  <c r="I72" i="8"/>
  <c r="K99" i="8"/>
  <c r="I99" i="8"/>
  <c r="H99" i="8"/>
  <c r="K50" i="8"/>
  <c r="H50" i="8"/>
  <c r="I50" i="8"/>
  <c r="I67" i="8"/>
  <c r="H67" i="8"/>
  <c r="K67" i="8"/>
  <c r="H54" i="8"/>
  <c r="K54" i="8"/>
  <c r="I54" i="8"/>
  <c r="K49" i="8"/>
  <c r="I49" i="8"/>
  <c r="H49" i="8"/>
  <c r="I14" i="8"/>
  <c r="K14" i="8"/>
  <c r="H14" i="8"/>
  <c r="K23" i="8"/>
  <c r="I23" i="8"/>
  <c r="H23" i="8"/>
  <c r="I32" i="8"/>
  <c r="H32" i="8"/>
  <c r="K32" i="8"/>
  <c r="I13" i="8"/>
  <c r="H13" i="8"/>
  <c r="K13" i="8"/>
  <c r="I56" i="8"/>
  <c r="H56" i="8"/>
  <c r="K56" i="8"/>
  <c r="I86" i="8"/>
  <c r="K86" i="8"/>
  <c r="H86" i="8"/>
  <c r="I64" i="8"/>
  <c r="H64" i="8"/>
  <c r="K64" i="8"/>
  <c r="H7" i="8"/>
  <c r="K7" i="8"/>
  <c r="I7" i="8"/>
  <c r="I41" i="8"/>
  <c r="K41" i="8"/>
  <c r="H41" i="8"/>
  <c r="I16" i="8"/>
  <c r="K16" i="8"/>
  <c r="H16" i="8"/>
  <c r="K45" i="8"/>
  <c r="I45" i="8"/>
  <c r="H45" i="8"/>
  <c r="K73" i="8"/>
  <c r="I73" i="8"/>
  <c r="H73" i="8"/>
  <c r="I89" i="8"/>
  <c r="K89" i="8"/>
  <c r="H89" i="8"/>
  <c r="K57" i="8"/>
  <c r="I57" i="8"/>
  <c r="H57" i="8"/>
  <c r="K27" i="8"/>
  <c r="I27" i="8"/>
  <c r="H27" i="8"/>
  <c r="I103" i="8"/>
  <c r="H103" i="8"/>
  <c r="K103" i="8"/>
  <c r="K71" i="8"/>
  <c r="I71" i="8"/>
  <c r="H71" i="8"/>
  <c r="I61" i="8"/>
  <c r="K61" i="8"/>
  <c r="H61" i="8"/>
  <c r="I62" i="8"/>
  <c r="H62" i="8"/>
  <c r="K62" i="8"/>
  <c r="K47" i="8"/>
  <c r="I47" i="8"/>
  <c r="H47" i="8"/>
  <c r="K97" i="8"/>
  <c r="I97" i="8"/>
  <c r="H97" i="8"/>
  <c r="K59" i="8"/>
  <c r="H59" i="8"/>
  <c r="I59" i="8"/>
  <c r="I101" i="8"/>
  <c r="K101" i="8"/>
  <c r="H101" i="8"/>
  <c r="K52" i="8"/>
  <c r="I52" i="8"/>
  <c r="H52" i="8"/>
  <c r="K36" i="8"/>
  <c r="I36" i="8"/>
  <c r="H36" i="8"/>
  <c r="I38" i="8"/>
  <c r="K38" i="8"/>
  <c r="H38" i="8"/>
  <c r="K58" i="8"/>
  <c r="H58" i="8"/>
  <c r="I58" i="8"/>
  <c r="I20" i="8"/>
  <c r="H20" i="8"/>
  <c r="K20" i="8"/>
  <c r="I39" i="8"/>
  <c r="H39" i="8"/>
  <c r="K39" i="8"/>
  <c r="I9" i="8"/>
  <c r="K9" i="8"/>
  <c r="H9" i="8"/>
  <c r="K26" i="8"/>
  <c r="I26" i="8"/>
  <c r="H26" i="8"/>
  <c r="I91" i="8"/>
  <c r="H91" i="8"/>
  <c r="K91" i="8"/>
  <c r="H78" i="8"/>
  <c r="K78" i="8"/>
  <c r="I78" i="8"/>
  <c r="I37" i="8"/>
  <c r="H37" i="8"/>
  <c r="K37" i="8"/>
  <c r="K22" i="8"/>
  <c r="I22" i="8"/>
  <c r="H22" i="8"/>
  <c r="G9" i="6"/>
  <c r="K100" i="8"/>
  <c r="I100" i="8"/>
  <c r="H100" i="8"/>
  <c r="D14" i="2"/>
  <c r="H5" i="7"/>
  <c r="K76" i="8"/>
  <c r="I76" i="8"/>
  <c r="H76" i="8"/>
  <c r="I5" i="8"/>
  <c r="H5" i="8"/>
  <c r="K5" i="8"/>
  <c r="K63" i="8"/>
  <c r="I63" i="8"/>
  <c r="H63" i="8"/>
  <c r="K69" i="8"/>
  <c r="I69" i="8"/>
  <c r="H69" i="8"/>
  <c r="K75" i="8"/>
  <c r="I75" i="8"/>
  <c r="H75" i="8"/>
  <c r="K105" i="8"/>
  <c r="I105" i="8"/>
  <c r="H105" i="8"/>
  <c r="I31" i="8"/>
  <c r="H31" i="8"/>
  <c r="K31" i="8"/>
  <c r="H18" i="8"/>
  <c r="K18" i="8"/>
  <c r="I18" i="8"/>
  <c r="I65" i="8"/>
  <c r="H65" i="8"/>
  <c r="K65" i="8"/>
  <c r="I104" i="8"/>
  <c r="H104" i="8"/>
  <c r="K104" i="8"/>
  <c r="K25" i="8"/>
  <c r="H25" i="8"/>
  <c r="I25" i="8"/>
  <c r="K93" i="8"/>
  <c r="I93" i="8"/>
  <c r="H93" i="8"/>
  <c r="H12" i="8"/>
  <c r="K12" i="8"/>
  <c r="I12" i="8"/>
  <c r="K46" i="8"/>
  <c r="I46" i="8"/>
  <c r="H46" i="8"/>
  <c r="K51" i="8"/>
  <c r="H51" i="8"/>
  <c r="I51" i="8"/>
  <c r="H29" i="8"/>
  <c r="I29" i="8"/>
  <c r="K29" i="8"/>
  <c r="I87" i="8"/>
  <c r="H87" i="8"/>
  <c r="K87" i="8"/>
  <c r="I88" i="8"/>
  <c r="H88" i="8"/>
  <c r="K88" i="8"/>
  <c r="I80" i="8"/>
  <c r="H80" i="8"/>
  <c r="K80" i="8"/>
  <c r="H90" i="8"/>
  <c r="I90" i="8"/>
  <c r="K90" i="8"/>
  <c r="I68" i="8"/>
  <c r="H68" i="8"/>
  <c r="K68" i="8"/>
  <c r="H74" i="8"/>
  <c r="I74" i="8"/>
  <c r="K74" i="8"/>
  <c r="I43" i="8"/>
  <c r="H43" i="8"/>
  <c r="K43" i="8"/>
  <c r="H30" i="8"/>
  <c r="K30" i="8"/>
  <c r="I30" i="8"/>
  <c r="K77" i="8"/>
  <c r="H77" i="8"/>
  <c r="I77" i="8"/>
  <c r="G6" i="6"/>
  <c r="A23" i="2" s="1"/>
  <c r="K28" i="8"/>
  <c r="I28" i="8"/>
  <c r="H28" i="8"/>
  <c r="K96" i="8"/>
  <c r="H96" i="8"/>
  <c r="I96" i="8"/>
  <c r="I17" i="8"/>
  <c r="K17" i="8"/>
  <c r="H17" i="8"/>
  <c r="I10" i="8"/>
  <c r="H10" i="8"/>
  <c r="K10" i="8"/>
  <c r="H8" i="8"/>
  <c r="K8" i="8"/>
  <c r="I8" i="8"/>
  <c r="K15" i="8"/>
  <c r="I15" i="8"/>
  <c r="H15" i="8"/>
  <c r="K34" i="8"/>
  <c r="H34" i="8"/>
  <c r="I34" i="8"/>
  <c r="F9" i="4"/>
  <c r="B18" i="2" s="1"/>
  <c r="G9" i="4"/>
  <c r="K11" i="8"/>
  <c r="I11" i="8"/>
  <c r="H11" i="8"/>
  <c r="K33" i="8"/>
  <c r="I33" i="8"/>
  <c r="H33" i="8"/>
  <c r="I44" i="8"/>
  <c r="H44" i="8"/>
  <c r="K44" i="8"/>
  <c r="H102" i="8"/>
  <c r="K102" i="8"/>
  <c r="I102" i="8"/>
  <c r="H24" i="8"/>
  <c r="K24" i="8"/>
  <c r="I24" i="8"/>
  <c r="F10" i="4" l="1"/>
  <c r="G10" i="4"/>
</calcChain>
</file>

<file path=xl/sharedStrings.xml><?xml version="1.0" encoding="utf-8"?>
<sst xmlns="http://schemas.openxmlformats.org/spreadsheetml/2006/main" count="1852" uniqueCount="506">
  <si>
    <t>Learning Program Operations Tracker</t>
  </si>
  <si>
    <t>Excel-based simulation of a Learning Operations workflow</t>
  </si>
  <si>
    <t>Purpose</t>
  </si>
  <si>
    <t>A self-directed practice project simulating the operational side of a Learning Operations role: participant registration, scheduling, attendance monitoring, completion tracking, exception identification, and action follow-up, ending in a management-level KPI dashboard.</t>
  </si>
  <si>
    <t>Synthetic Data Disclaimer</t>
  </si>
  <si>
    <t>All 200 participant records, names, courses, batches, trainers, and feedback scores in this workbook are synthetically generated for demonstration purposes. They do not represent real individuals, a real training program, or real Learning Management System (LMS) data.</t>
  </si>
  <si>
    <t>Workbook Structure</t>
  </si>
  <si>
    <t>•  Learning Operations Dashboard — Management-level KPIs: participants, attendance, completion, feedback, open actions, and course performance at a glance.</t>
  </si>
  <si>
    <t>•  Raw Data — 200 synthetic participant records: registration status, course, batch, trainer, session date, attendance, completion status, feedback score, pending action.</t>
  </si>
  <si>
    <t>•  Registration Tracker — Registration status breakdown by course, and by course + batch, using COUNTIFS-driven reporting.</t>
  </si>
  <si>
    <t>•  Course Schedule — Course x batch schedule with trainer, session date, registered count, capacity, and seats available.</t>
  </si>
  <si>
    <t>•  Attendance Tracker — Attendance rates by course using COUNTIFS-driven reporting, with an Attendance Health flag.</t>
  </si>
  <si>
    <t>•  Completion Dashboard — Completion rates and average feedback score by course, with Completion Health and Feedback Health flags.</t>
  </si>
  <si>
    <t>•  Exception &amp; Action Tracker — Auto-extracted list of every participant with an open pending action (INDEX/MATCH), with priority, owner, due date, and status.</t>
  </si>
  <si>
    <t>Key Skills Demonstrated</t>
  </si>
  <si>
    <t>•  Excel formulas (COUNTIFS, AVERAGEIFS, INDEX/MATCH)</t>
  </si>
  <si>
    <t>•  Data validation and structured record management</t>
  </si>
  <si>
    <t>•  Exception reporting and automated action extraction</t>
  </si>
  <si>
    <t>•  Operational KPI tracking and health-flag design</t>
  </si>
  <si>
    <t>•  Conditional formatting for at-a-glance status monitoring</t>
  </si>
  <si>
    <t>•  Cross-sheet dashboard design</t>
  </si>
  <si>
    <t>LEARNING OPERATIONS DASHBOARD</t>
  </si>
  <si>
    <t>Self-directed simulation using synthetic data — Learning Program Operations Tracker</t>
  </si>
  <si>
    <t>Total Participants</t>
  </si>
  <si>
    <t>Registered</t>
  </si>
  <si>
    <t>Attendance Rate</t>
  </si>
  <si>
    <t>Completion Rate</t>
  </si>
  <si>
    <t>Avg Feedback (out of 5)</t>
  </si>
  <si>
    <t>Open Actions</t>
  </si>
  <si>
    <t>Course Performance</t>
  </si>
  <si>
    <t>Course</t>
  </si>
  <si>
    <t>Registration Rate</t>
  </si>
  <si>
    <t>Avg Feedback</t>
  </si>
  <si>
    <t>Excel Fundamentals</t>
  </si>
  <si>
    <t>Data Analytics Basics</t>
  </si>
  <si>
    <t>Communication Skills</t>
  </si>
  <si>
    <t>Project Management 101</t>
  </si>
  <si>
    <t>SQL for Beginners</t>
  </si>
  <si>
    <t>Leadership Essentials</t>
  </si>
  <si>
    <t>Operational Alerts</t>
  </si>
  <si>
    <t>Participant ID</t>
  </si>
  <si>
    <t>Participant Name</t>
  </si>
  <si>
    <t>Registration Status</t>
  </si>
  <si>
    <t>Batch</t>
  </si>
  <si>
    <t>Trainer</t>
  </si>
  <si>
    <t>Session Date</t>
  </si>
  <si>
    <t>Attendance</t>
  </si>
  <si>
    <t>Completion Status</t>
  </si>
  <si>
    <t>Feedback Score</t>
  </si>
  <si>
    <t>Pending Action</t>
  </si>
  <si>
    <t>Exception Rank</t>
  </si>
  <si>
    <t>P001</t>
  </si>
  <si>
    <t>Reyansh Gupta</t>
  </si>
  <si>
    <t>C</t>
  </si>
  <si>
    <t>Sneha Kulkarni</t>
  </si>
  <si>
    <t>Present</t>
  </si>
  <si>
    <t>Completed</t>
  </si>
  <si>
    <t>P002</t>
  </si>
  <si>
    <t>Aadhya Shetty</t>
  </si>
  <si>
    <t>Cancelled</t>
  </si>
  <si>
    <t>B</t>
  </si>
  <si>
    <t>P003</t>
  </si>
  <si>
    <t>Ishaan Rana</t>
  </si>
  <si>
    <t>A</t>
  </si>
  <si>
    <t>Kavya Reddy</t>
  </si>
  <si>
    <t>In Progress</t>
  </si>
  <si>
    <t>Collect interim feedback</t>
  </si>
  <si>
    <t>P004</t>
  </si>
  <si>
    <t>Suman Gupta</t>
  </si>
  <si>
    <t>D</t>
  </si>
  <si>
    <t>P005</t>
  </si>
  <si>
    <t>Deepak Joshi</t>
  </si>
  <si>
    <t>Arjun Mehta</t>
  </si>
  <si>
    <t>P006</t>
  </si>
  <si>
    <t>Sandeep Chawla</t>
  </si>
  <si>
    <t>Dropped</t>
  </si>
  <si>
    <t>Follow up - dropped participant</t>
  </si>
  <si>
    <t>P007</t>
  </si>
  <si>
    <t>Anil Joshi</t>
  </si>
  <si>
    <t>Send completion certificate</t>
  </si>
  <si>
    <t>P008</t>
  </si>
  <si>
    <t>Radha Banerjee</t>
  </si>
  <si>
    <t>P009</t>
  </si>
  <si>
    <t>Aarav Mukherjee</t>
  </si>
  <si>
    <t>P010</t>
  </si>
  <si>
    <t>Kiara Rana</t>
  </si>
  <si>
    <t>P011</t>
  </si>
  <si>
    <t>Reyansh Nayar</t>
  </si>
  <si>
    <t>Vikram Rao</t>
  </si>
  <si>
    <t>Absent</t>
  </si>
  <si>
    <t>Follow up on absence</t>
  </si>
  <si>
    <t>P012</t>
  </si>
  <si>
    <t>Anika Iyer</t>
  </si>
  <si>
    <t>Waitlisted</t>
  </si>
  <si>
    <t>Resolve waitlist</t>
  </si>
  <si>
    <t>P013</t>
  </si>
  <si>
    <t>Gaurav Bhat</t>
  </si>
  <si>
    <t>Priya Nair</t>
  </si>
  <si>
    <t>P014</t>
  </si>
  <si>
    <t>Riya Joshi</t>
  </si>
  <si>
    <t>P015</t>
  </si>
  <si>
    <t>Aadhya Das</t>
  </si>
  <si>
    <t>P016</t>
  </si>
  <si>
    <t>Aadhya Mukherjee</t>
  </si>
  <si>
    <t>P017</t>
  </si>
  <si>
    <t>Anita Mehta</t>
  </si>
  <si>
    <t>P018</t>
  </si>
  <si>
    <t>Neha Mehta</t>
  </si>
  <si>
    <t>P019</t>
  </si>
  <si>
    <t>Sai Banerjee</t>
  </si>
  <si>
    <t>P020</t>
  </si>
  <si>
    <t>Geeta Mehta</t>
  </si>
  <si>
    <t>Rohan Iyer</t>
  </si>
  <si>
    <t>P021</t>
  </si>
  <si>
    <t>Aarav Patel</t>
  </si>
  <si>
    <t>P022</t>
  </si>
  <si>
    <t>Amit Mehta</t>
  </si>
  <si>
    <t>P023</t>
  </si>
  <si>
    <t>Gaurav Pillai</t>
  </si>
  <si>
    <t>P024</t>
  </si>
  <si>
    <t>Anil Menon</t>
  </si>
  <si>
    <t>P025</t>
  </si>
  <si>
    <t>Aarav Iyer</t>
  </si>
  <si>
    <t>P026</t>
  </si>
  <si>
    <t>Suman Das</t>
  </si>
  <si>
    <t>P027</t>
  </si>
  <si>
    <t>Kavya Verma</t>
  </si>
  <si>
    <t>P028</t>
  </si>
  <si>
    <t>Shreya Bhat</t>
  </si>
  <si>
    <t>P029</t>
  </si>
  <si>
    <t>Naveen Nair</t>
  </si>
  <si>
    <t>P030</t>
  </si>
  <si>
    <t>Kiara Singh</t>
  </si>
  <si>
    <t>P031</t>
  </si>
  <si>
    <t>Usha Singh</t>
  </si>
  <si>
    <t>P032</t>
  </si>
  <si>
    <t>Ajay Kulkarni</t>
  </si>
  <si>
    <t>P033</t>
  </si>
  <si>
    <t>Reyansh Singh</t>
  </si>
  <si>
    <t>P034</t>
  </si>
  <si>
    <t>Suman Bose</t>
  </si>
  <si>
    <t>P035</t>
  </si>
  <si>
    <t>Swati Ghosh</t>
  </si>
  <si>
    <t>P036</t>
  </si>
  <si>
    <t>Jyoti Rana</t>
  </si>
  <si>
    <t>P037</t>
  </si>
  <si>
    <t>Rekha Reddy</t>
  </si>
  <si>
    <t>P038</t>
  </si>
  <si>
    <t>Suman Menon</t>
  </si>
  <si>
    <t>P039</t>
  </si>
  <si>
    <t>Diya Ghosh</t>
  </si>
  <si>
    <t>P040</t>
  </si>
  <si>
    <t>Lakshmi Rana</t>
  </si>
  <si>
    <t>P041</t>
  </si>
  <si>
    <t>Radha Mukherjee</t>
  </si>
  <si>
    <t>P042</t>
  </si>
  <si>
    <t>Radha Kulkarni</t>
  </si>
  <si>
    <t>P043</t>
  </si>
  <si>
    <t>Ananya Malhotra</t>
  </si>
  <si>
    <t>P044</t>
  </si>
  <si>
    <t>Reyansh Kumar</t>
  </si>
  <si>
    <t>P045</t>
  </si>
  <si>
    <t>Anita Desai</t>
  </si>
  <si>
    <t>P046</t>
  </si>
  <si>
    <t>Saanvi Chawla</t>
  </si>
  <si>
    <t>P047</t>
  </si>
  <si>
    <t>Suresh Joshi</t>
  </si>
  <si>
    <t>P048</t>
  </si>
  <si>
    <t>Myra Sharma</t>
  </si>
  <si>
    <t>P049</t>
  </si>
  <si>
    <t>Saanvi Kumar</t>
  </si>
  <si>
    <t>P050</t>
  </si>
  <si>
    <t>Riya Bose</t>
  </si>
  <si>
    <t>P051</t>
  </si>
  <si>
    <t>Varun Mehta</t>
  </si>
  <si>
    <t>P052</t>
  </si>
  <si>
    <t>Rajesh Shetty</t>
  </si>
  <si>
    <t>P053</t>
  </si>
  <si>
    <t>Ajay Chawla</t>
  </si>
  <si>
    <t>P054</t>
  </si>
  <si>
    <t>Karthik Sharma</t>
  </si>
  <si>
    <t>P055</t>
  </si>
  <si>
    <t>Suman Mehta</t>
  </si>
  <si>
    <t>P056</t>
  </si>
  <si>
    <t>Shreya Mehta</t>
  </si>
  <si>
    <t>P057</t>
  </si>
  <si>
    <t>Reyansh Chatterjee</t>
  </si>
  <si>
    <t>P058</t>
  </si>
  <si>
    <t>Suresh Ghosh</t>
  </si>
  <si>
    <t>P059</t>
  </si>
  <si>
    <t>Naveen Chatterjee</t>
  </si>
  <si>
    <t>P060</t>
  </si>
  <si>
    <t>Krishna Kumar</t>
  </si>
  <si>
    <t>P061</t>
  </si>
  <si>
    <t>Saanvi Mehta</t>
  </si>
  <si>
    <t>P062</t>
  </si>
  <si>
    <t>Aarav Shetty</t>
  </si>
  <si>
    <t>P063</t>
  </si>
  <si>
    <t>Ajay Ghosh</t>
  </si>
  <si>
    <t>P064</t>
  </si>
  <si>
    <t>Gaurav Mukherjee</t>
  </si>
  <si>
    <t>P065</t>
  </si>
  <si>
    <t>Deepak Menon</t>
  </si>
  <si>
    <t>P066</t>
  </si>
  <si>
    <t>Vijay Rana</t>
  </si>
  <si>
    <t>P067</t>
  </si>
  <si>
    <t>Swati Patel</t>
  </si>
  <si>
    <t>P068</t>
  </si>
  <si>
    <t>Anita Iyer</t>
  </si>
  <si>
    <t>P069</t>
  </si>
  <si>
    <t>Usha Joshi</t>
  </si>
  <si>
    <t>P070</t>
  </si>
  <si>
    <t>Kiara Mukherjee</t>
  </si>
  <si>
    <t>P071</t>
  </si>
  <si>
    <t>Rahul Kumar</t>
  </si>
  <si>
    <t>P072</t>
  </si>
  <si>
    <t>Ishita Bhat</t>
  </si>
  <si>
    <t>P073</t>
  </si>
  <si>
    <t>Saanvi Menon</t>
  </si>
  <si>
    <t>P074</t>
  </si>
  <si>
    <t>Manoj Mukherjee</t>
  </si>
  <si>
    <t>P075</t>
  </si>
  <si>
    <t>Usha Reddy</t>
  </si>
  <si>
    <t>P076</t>
  </si>
  <si>
    <t>Divya Joshi</t>
  </si>
  <si>
    <t>P077</t>
  </si>
  <si>
    <t>Meera Chawla</t>
  </si>
  <si>
    <t>P078</t>
  </si>
  <si>
    <t>Kiara Joshi</t>
  </si>
  <si>
    <t>P079</t>
  </si>
  <si>
    <t>Naveen Malhotra</t>
  </si>
  <si>
    <t>P080</t>
  </si>
  <si>
    <t>Nisha Banerjee</t>
  </si>
  <si>
    <t>P081</t>
  </si>
  <si>
    <t>Arun Pillai</t>
  </si>
  <si>
    <t>P082</t>
  </si>
  <si>
    <t>Ajay Rao</t>
  </si>
  <si>
    <t>P083</t>
  </si>
  <si>
    <t>Priya Malhotra</t>
  </si>
  <si>
    <t>P084</t>
  </si>
  <si>
    <t>Ananya Mukherjee</t>
  </si>
  <si>
    <t>P085</t>
  </si>
  <si>
    <t>Ishita Shetty</t>
  </si>
  <si>
    <t>P086</t>
  </si>
  <si>
    <t>Amit Chatterjee</t>
  </si>
  <si>
    <t>P087</t>
  </si>
  <si>
    <t>Sai Chawla</t>
  </si>
  <si>
    <t>P088</t>
  </si>
  <si>
    <t>Ajay Joshi</t>
  </si>
  <si>
    <t>P089</t>
  </si>
  <si>
    <t>Radha Rao</t>
  </si>
  <si>
    <t>P090</t>
  </si>
  <si>
    <t>Vivaan Verma</t>
  </si>
  <si>
    <t>P091</t>
  </si>
  <si>
    <t>Priya Chatterjee</t>
  </si>
  <si>
    <t>P092</t>
  </si>
  <si>
    <t>Arun Menon</t>
  </si>
  <si>
    <t>P093</t>
  </si>
  <si>
    <t>Divya Rao</t>
  </si>
  <si>
    <t>P094</t>
  </si>
  <si>
    <t>Sanjay Kumar</t>
  </si>
  <si>
    <t>P095</t>
  </si>
  <si>
    <t>Ravi Kulkarni</t>
  </si>
  <si>
    <t>P096</t>
  </si>
  <si>
    <t>Rajesh Das</t>
  </si>
  <si>
    <t>P097</t>
  </si>
  <si>
    <t>Usha Kapoor</t>
  </si>
  <si>
    <t>P098</t>
  </si>
  <si>
    <t>Varun Menon</t>
  </si>
  <si>
    <t>P099</t>
  </si>
  <si>
    <t>Diya Malhotra</t>
  </si>
  <si>
    <t>P100</t>
  </si>
  <si>
    <t>Sneha Pillai</t>
  </si>
  <si>
    <t>P101</t>
  </si>
  <si>
    <t>Meera Kulkarni</t>
  </si>
  <si>
    <t>P102</t>
  </si>
  <si>
    <t>Arun Nair</t>
  </si>
  <si>
    <t>P103</t>
  </si>
  <si>
    <t>Vijay Shetty</t>
  </si>
  <si>
    <t>P104</t>
  </si>
  <si>
    <t>Nisha Patel</t>
  </si>
  <si>
    <t>P105</t>
  </si>
  <si>
    <t>Swati Chawla</t>
  </si>
  <si>
    <t>P106</t>
  </si>
  <si>
    <t>Usha Shetty</t>
  </si>
  <si>
    <t>P107</t>
  </si>
  <si>
    <t>Geeta Rana</t>
  </si>
  <si>
    <t>P108</t>
  </si>
  <si>
    <t>Sandeep Nayar</t>
  </si>
  <si>
    <t>P109</t>
  </si>
  <si>
    <t>Gaurav Bose</t>
  </si>
  <si>
    <t>P110</t>
  </si>
  <si>
    <t>Sandeep Mehta</t>
  </si>
  <si>
    <t>P111</t>
  </si>
  <si>
    <t>Geeta Banerjee</t>
  </si>
  <si>
    <t>P112</t>
  </si>
  <si>
    <t>Varun Kapoor</t>
  </si>
  <si>
    <t>P113</t>
  </si>
  <si>
    <t>Neha Banerjee</t>
  </si>
  <si>
    <t>P114</t>
  </si>
  <si>
    <t>Riya Pillai</t>
  </si>
  <si>
    <t>P115</t>
  </si>
  <si>
    <t>Pari Mehta</t>
  </si>
  <si>
    <t>P116</t>
  </si>
  <si>
    <t>Rahul Nayar</t>
  </si>
  <si>
    <t>P117</t>
  </si>
  <si>
    <t>Sai Nair</t>
  </si>
  <si>
    <t>P118</t>
  </si>
  <si>
    <t>Myra Kumar</t>
  </si>
  <si>
    <t>P119</t>
  </si>
  <si>
    <t>Rohan Das</t>
  </si>
  <si>
    <t>P120</t>
  </si>
  <si>
    <t>Arjun Menon</t>
  </si>
  <si>
    <t>P121</t>
  </si>
  <si>
    <t>Karthik Bhat</t>
  </si>
  <si>
    <t>P122</t>
  </si>
  <si>
    <t>Vikram Verma</t>
  </si>
  <si>
    <t>P123</t>
  </si>
  <si>
    <t>Geeta Menon</t>
  </si>
  <si>
    <t>P124</t>
  </si>
  <si>
    <t>Shreya Das</t>
  </si>
  <si>
    <t>P125</t>
  </si>
  <si>
    <t>Anita Nayar</t>
  </si>
  <si>
    <t>P126</t>
  </si>
  <si>
    <t>Manoj Desai</t>
  </si>
  <si>
    <t>P127</t>
  </si>
  <si>
    <t>Nikhil Kumar</t>
  </si>
  <si>
    <t>P128</t>
  </si>
  <si>
    <t>Kavya Ghosh</t>
  </si>
  <si>
    <t>P129</t>
  </si>
  <si>
    <t>Kavya Malhotra</t>
  </si>
  <si>
    <t>P130</t>
  </si>
  <si>
    <t>Usha Kulkarni</t>
  </si>
  <si>
    <t>P131</t>
  </si>
  <si>
    <t>Myra Mehta</t>
  </si>
  <si>
    <t>P132</t>
  </si>
  <si>
    <t>Neha Sharma</t>
  </si>
  <si>
    <t>P133</t>
  </si>
  <si>
    <t>Karthik Mukherjee</t>
  </si>
  <si>
    <t>P134</t>
  </si>
  <si>
    <t>Radha Kumar</t>
  </si>
  <si>
    <t>P135</t>
  </si>
  <si>
    <t>Ananya Chawla</t>
  </si>
  <si>
    <t>P136</t>
  </si>
  <si>
    <t>Kavita Nair</t>
  </si>
  <si>
    <t>P137</t>
  </si>
  <si>
    <t>Kavya Sharma</t>
  </si>
  <si>
    <t>P138</t>
  </si>
  <si>
    <t>Shreya Naidu</t>
  </si>
  <si>
    <t>P139</t>
  </si>
  <si>
    <t>Vivaan Gupta</t>
  </si>
  <si>
    <t>P140</t>
  </si>
  <si>
    <t>Rekha Pillai</t>
  </si>
  <si>
    <t>P141</t>
  </si>
  <si>
    <t>Vihaan Mehta</t>
  </si>
  <si>
    <t>P142</t>
  </si>
  <si>
    <t>Rahul Rao</t>
  </si>
  <si>
    <t>P143</t>
  </si>
  <si>
    <t>Rahul Patel</t>
  </si>
  <si>
    <t>P144</t>
  </si>
  <si>
    <t>Riya Kapoor</t>
  </si>
  <si>
    <t>P145</t>
  </si>
  <si>
    <t>Anika Chawla</t>
  </si>
  <si>
    <t>P146</t>
  </si>
  <si>
    <t>Priya Sharma</t>
  </si>
  <si>
    <t>P147</t>
  </si>
  <si>
    <t>Suresh Kulkarni</t>
  </si>
  <si>
    <t>P148</t>
  </si>
  <si>
    <t>Arjun Kapoor</t>
  </si>
  <si>
    <t>P149</t>
  </si>
  <si>
    <t>Aditya Kapoor</t>
  </si>
  <si>
    <t>P150</t>
  </si>
  <si>
    <t>Pari Rao</t>
  </si>
  <si>
    <t>P151</t>
  </si>
  <si>
    <t>Swati Nair</t>
  </si>
  <si>
    <t>P152</t>
  </si>
  <si>
    <t>Ishaan Desai</t>
  </si>
  <si>
    <t>P153</t>
  </si>
  <si>
    <t>Krishna Naidu</t>
  </si>
  <si>
    <t>P154</t>
  </si>
  <si>
    <t>Arun Das</t>
  </si>
  <si>
    <t>P155</t>
  </si>
  <si>
    <t>Varun Singh</t>
  </si>
  <si>
    <t>P156</t>
  </si>
  <si>
    <t>Nisha Chatterjee</t>
  </si>
  <si>
    <t>P157</t>
  </si>
  <si>
    <t>Anil Iyer</t>
  </si>
  <si>
    <t>P158</t>
  </si>
  <si>
    <t>Kiara Iyer</t>
  </si>
  <si>
    <t>P159</t>
  </si>
  <si>
    <t>Vivaan Rana</t>
  </si>
  <si>
    <t>P160</t>
  </si>
  <si>
    <t>Divya Mukherjee</t>
  </si>
  <si>
    <t>P161</t>
  </si>
  <si>
    <t>Ravi Das</t>
  </si>
  <si>
    <t>P162</t>
  </si>
  <si>
    <t>Arjun Naidu</t>
  </si>
  <si>
    <t>P163</t>
  </si>
  <si>
    <t>Pari Iyer</t>
  </si>
  <si>
    <t>P164</t>
  </si>
  <si>
    <t>Varun Joshi</t>
  </si>
  <si>
    <t>P165</t>
  </si>
  <si>
    <t>Nisha Malhotra</t>
  </si>
  <si>
    <t>P166</t>
  </si>
  <si>
    <t>Lakshmi Naidu</t>
  </si>
  <si>
    <t>P167</t>
  </si>
  <si>
    <t>Suresh Bhat</t>
  </si>
  <si>
    <t>P168</t>
  </si>
  <si>
    <t>Vijay Singh</t>
  </si>
  <si>
    <t>P169</t>
  </si>
  <si>
    <t>Pooja Banerjee</t>
  </si>
  <si>
    <t>P170</t>
  </si>
  <si>
    <t>Aarav Bose</t>
  </si>
  <si>
    <t>P171</t>
  </si>
  <si>
    <t>Sunita Desai</t>
  </si>
  <si>
    <t>P172</t>
  </si>
  <si>
    <t>Naveen Singh</t>
  </si>
  <si>
    <t>P173</t>
  </si>
  <si>
    <t>Usha Chawla</t>
  </si>
  <si>
    <t>P174</t>
  </si>
  <si>
    <t>Anil Nair</t>
  </si>
  <si>
    <t>P175</t>
  </si>
  <si>
    <t>Sneha Banerjee</t>
  </si>
  <si>
    <t>P176</t>
  </si>
  <si>
    <t>Swati Malhotra</t>
  </si>
  <si>
    <t>P177</t>
  </si>
  <si>
    <t>Varun Desai</t>
  </si>
  <si>
    <t>P178</t>
  </si>
  <si>
    <t>Naveen Chawla</t>
  </si>
  <si>
    <t>P179</t>
  </si>
  <si>
    <t>Rahul Bose</t>
  </si>
  <si>
    <t>P180</t>
  </si>
  <si>
    <t>Sai Mehta</t>
  </si>
  <si>
    <t>P181</t>
  </si>
  <si>
    <t>Pari Kapoor</t>
  </si>
  <si>
    <t>P182</t>
  </si>
  <si>
    <t>Divya Chatterjee</t>
  </si>
  <si>
    <t>P183</t>
  </si>
  <si>
    <t>Manoj Patel</t>
  </si>
  <si>
    <t>P184</t>
  </si>
  <si>
    <t>Neha Bose</t>
  </si>
  <si>
    <t>P185</t>
  </si>
  <si>
    <t>Diya Desai</t>
  </si>
  <si>
    <t>P186</t>
  </si>
  <si>
    <t>Suresh Malhotra</t>
  </si>
  <si>
    <t>P187</t>
  </si>
  <si>
    <t>Karthik Mehta</t>
  </si>
  <si>
    <t>P188</t>
  </si>
  <si>
    <t>Sanjay Nayar</t>
  </si>
  <si>
    <t>P189</t>
  </si>
  <si>
    <t>Meera Sharma</t>
  </si>
  <si>
    <t>P190</t>
  </si>
  <si>
    <t>Saanvi Gupta</t>
  </si>
  <si>
    <t>P191</t>
  </si>
  <si>
    <t>Kiran Menon</t>
  </si>
  <si>
    <t>P192</t>
  </si>
  <si>
    <t>Meera Kapoor</t>
  </si>
  <si>
    <t>P193</t>
  </si>
  <si>
    <t>Sanjay Desai</t>
  </si>
  <si>
    <t>P194</t>
  </si>
  <si>
    <t>Anil Desai</t>
  </si>
  <si>
    <t>P195</t>
  </si>
  <si>
    <t>Lakshmi Sharma</t>
  </si>
  <si>
    <t>P196</t>
  </si>
  <si>
    <t>Ishita Kulkarni</t>
  </si>
  <si>
    <t>P197</t>
  </si>
  <si>
    <t>Sanjay Kulkarni</t>
  </si>
  <si>
    <t>P198</t>
  </si>
  <si>
    <t>Vijay Naidu</t>
  </si>
  <si>
    <t>P199</t>
  </si>
  <si>
    <t>Priya Bhat</t>
  </si>
  <si>
    <t>P200</t>
  </si>
  <si>
    <t>Suresh Menon</t>
  </si>
  <si>
    <t>Registration Tracker — by Course</t>
  </si>
  <si>
    <t>Total</t>
  </si>
  <si>
    <t>Waitlist Rate</t>
  </si>
  <si>
    <t>Registration Tracker — by Course + Batch</t>
  </si>
  <si>
    <t>Course Schedule</t>
  </si>
  <si>
    <t>Capacity</t>
  </si>
  <si>
    <t>Seats Available</t>
  </si>
  <si>
    <t>Status</t>
  </si>
  <si>
    <t>Assumption: Capacity fixed at 12 seats per course-batch session (blue = input cell).</t>
  </si>
  <si>
    <t>Attendance Tracker</t>
  </si>
  <si>
    <t>Registered Total</t>
  </si>
  <si>
    <t>Absence Rate</t>
  </si>
  <si>
    <t>Attendance Health</t>
  </si>
  <si>
    <t>Completion Dashboard</t>
  </si>
  <si>
    <t>Avg Feedback Score</t>
  </si>
  <si>
    <t>Completion Health</t>
  </si>
  <si>
    <t>Feedback Health</t>
  </si>
  <si>
    <t>Exception &amp; Action Tracker</t>
  </si>
  <si>
    <t>Auto-extracted from Raw Data: every participant with an open pending action (INDEX/MATCH against the hidden Exception Rank helper column).</t>
  </si>
  <si>
    <t>Action ID</t>
  </si>
  <si>
    <t>Priority</t>
  </si>
  <si>
    <t>Owner</t>
  </si>
  <si>
    <t>Due Date</t>
  </si>
  <si>
    <t>Skills Demonstrated</t>
  </si>
  <si>
    <t>Participant registration &amp; record management</t>
  </si>
  <si>
    <t>Scheduling &amp; capacity monitoring</t>
  </si>
  <si>
    <t>Attendance &amp; completion tracking</t>
  </si>
  <si>
    <t>Exception identification &amp; action follow-up</t>
  </si>
  <si>
    <t>KPI reporting</t>
  </si>
  <si>
    <t>Excel automation using formulas</t>
  </si>
  <si>
    <t>Registration Health</t>
  </si>
  <si>
    <r>
      <t>Simulation Period:</t>
    </r>
    <r>
      <rPr>
        <sz val="11"/>
        <color theme="1"/>
        <rFont val="Calibri"/>
        <family val="2"/>
        <charset val="1"/>
      </rPr>
      <t xml:space="preserve"> May–July 2026</t>
    </r>
  </si>
  <si>
    <r>
      <t>Note:</t>
    </r>
    <r>
      <rPr>
        <sz val="11"/>
        <color theme="1"/>
        <rFont val="Calibri"/>
        <family val="2"/>
        <charset val="1"/>
      </rPr>
      <t xml:space="preserve"> All participant records, dates, and operational activities are synthetic and created solely for learning and portfolio demonstration purposes.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</si>
</sst>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12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2"/>
      <color rgb="FF595959"/>
      <name val="Arial"/>
      <charset val="1"/>
    </font>
    <font>
      <b/>
      <sz val="11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595959"/>
      <name val="Arial"/>
      <charset val="1"/>
    </font>
    <font>
      <b/>
      <sz val="22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1" fillId="0" borderId="0" xfId="0" applyFont="1"/>
    <xf numFmtId="0" fontId="9" fillId="0" borderId="0" xfId="0" applyFont="1"/>
    <xf numFmtId="2" fontId="6" fillId="2" borderId="0" xfId="0" applyNumberFormat="1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18"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B40"/>
  <sheetViews>
    <sheetView showGridLines="0" topLeftCell="B1" zoomScaleNormal="100" workbookViewId="0">
      <selection activeCell="B3" sqref="B3"/>
    </sheetView>
  </sheetViews>
  <sheetFormatPr defaultColWidth="8.6640625" defaultRowHeight="14.4" x14ac:dyDescent="0.3"/>
  <cols>
    <col min="1" max="1" width="3" customWidth="1"/>
    <col min="2" max="2" width="100" customWidth="1"/>
  </cols>
  <sheetData>
    <row r="2" spans="2:2" ht="22.8" x14ac:dyDescent="0.4">
      <c r="B2" s="10" t="s">
        <v>0</v>
      </c>
    </row>
    <row r="3" spans="2:2" ht="15.6" x14ac:dyDescent="0.3">
      <c r="B3" s="11" t="s">
        <v>1</v>
      </c>
    </row>
    <row r="5" spans="2:2" x14ac:dyDescent="0.3">
      <c r="B5" s="12" t="s">
        <v>2</v>
      </c>
    </row>
    <row r="6" spans="2:2" ht="39.75" customHeight="1" x14ac:dyDescent="0.3">
      <c r="B6" s="9" t="s">
        <v>3</v>
      </c>
    </row>
    <row r="7" spans="2:2" x14ac:dyDescent="0.3">
      <c r="B7" s="9"/>
    </row>
    <row r="9" spans="2:2" x14ac:dyDescent="0.3">
      <c r="B9" s="12" t="s">
        <v>4</v>
      </c>
    </row>
    <row r="10" spans="2:2" ht="39.75" customHeight="1" x14ac:dyDescent="0.3">
      <c r="B10" s="9" t="s">
        <v>5</v>
      </c>
    </row>
    <row r="11" spans="2:2" x14ac:dyDescent="0.3">
      <c r="B11" s="9"/>
    </row>
    <row r="13" spans="2:2" x14ac:dyDescent="0.3">
      <c r="B13" s="12" t="s">
        <v>6</v>
      </c>
    </row>
    <row r="14" spans="2:2" ht="27.75" customHeight="1" x14ac:dyDescent="0.3">
      <c r="B14" s="13" t="s">
        <v>7</v>
      </c>
    </row>
    <row r="15" spans="2:2" ht="27.75" customHeight="1" x14ac:dyDescent="0.3">
      <c r="B15" s="13" t="s">
        <v>8</v>
      </c>
    </row>
    <row r="16" spans="2:2" ht="27.75" customHeight="1" x14ac:dyDescent="0.3">
      <c r="B16" s="13" t="s">
        <v>9</v>
      </c>
    </row>
    <row r="17" spans="2:2" ht="27.75" customHeight="1" x14ac:dyDescent="0.3">
      <c r="B17" s="13" t="s">
        <v>10</v>
      </c>
    </row>
    <row r="18" spans="2:2" ht="27.75" customHeight="1" x14ac:dyDescent="0.3">
      <c r="B18" s="13" t="s">
        <v>11</v>
      </c>
    </row>
    <row r="19" spans="2:2" ht="27.75" customHeight="1" x14ac:dyDescent="0.3">
      <c r="B19" s="13" t="s">
        <v>12</v>
      </c>
    </row>
    <row r="20" spans="2:2" ht="27.75" customHeight="1" x14ac:dyDescent="0.3">
      <c r="B20" s="13" t="s">
        <v>13</v>
      </c>
    </row>
    <row r="22" spans="2:2" x14ac:dyDescent="0.3">
      <c r="B22" s="12" t="s">
        <v>14</v>
      </c>
    </row>
    <row r="23" spans="2:2" x14ac:dyDescent="0.3">
      <c r="B23" t="s">
        <v>15</v>
      </c>
    </row>
    <row r="24" spans="2:2" x14ac:dyDescent="0.3">
      <c r="B24" t="s">
        <v>16</v>
      </c>
    </row>
    <row r="25" spans="2:2" x14ac:dyDescent="0.3">
      <c r="B25" t="s">
        <v>17</v>
      </c>
    </row>
    <row r="26" spans="2:2" x14ac:dyDescent="0.3">
      <c r="B26" t="s">
        <v>18</v>
      </c>
    </row>
    <row r="27" spans="2:2" x14ac:dyDescent="0.3">
      <c r="B27" t="s">
        <v>19</v>
      </c>
    </row>
    <row r="28" spans="2:2" x14ac:dyDescent="0.3">
      <c r="B28" t="s">
        <v>20</v>
      </c>
    </row>
    <row r="30" spans="2:2" x14ac:dyDescent="0.3">
      <c r="B30" s="12" t="s">
        <v>496</v>
      </c>
    </row>
    <row r="31" spans="2:2" x14ac:dyDescent="0.3">
      <c r="B31" s="24"/>
    </row>
    <row r="32" spans="2:2" x14ac:dyDescent="0.3">
      <c r="B32" t="s">
        <v>497</v>
      </c>
    </row>
    <row r="33" spans="2:2" x14ac:dyDescent="0.3">
      <c r="B33" t="s">
        <v>498</v>
      </c>
    </row>
    <row r="34" spans="2:2" x14ac:dyDescent="0.3">
      <c r="B34" t="s">
        <v>499</v>
      </c>
    </row>
    <row r="35" spans="2:2" x14ac:dyDescent="0.3">
      <c r="B35" t="s">
        <v>500</v>
      </c>
    </row>
    <row r="36" spans="2:2" x14ac:dyDescent="0.3">
      <c r="B36" t="s">
        <v>501</v>
      </c>
    </row>
    <row r="37" spans="2:2" x14ac:dyDescent="0.3">
      <c r="B37" t="s">
        <v>502</v>
      </c>
    </row>
    <row r="39" spans="2:2" x14ac:dyDescent="0.3">
      <c r="B39" s="12" t="s">
        <v>504</v>
      </c>
    </row>
    <row r="40" spans="2:2" x14ac:dyDescent="0.3">
      <c r="B40" s="12" t="s">
        <v>505</v>
      </c>
    </row>
  </sheetData>
  <mergeCells count="2">
    <mergeCell ref="B6:B7"/>
    <mergeCell ref="B10:B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H25"/>
  <sheetViews>
    <sheetView showGridLines="0" zoomScaleNormal="100" workbookViewId="0">
      <selection activeCell="A23" sqref="A23:D23"/>
    </sheetView>
  </sheetViews>
  <sheetFormatPr defaultColWidth="8.6640625" defaultRowHeight="14.4" x14ac:dyDescent="0.3"/>
  <cols>
    <col min="1" max="1" width="20" customWidth="1"/>
    <col min="2" max="2" width="18" customWidth="1"/>
    <col min="3" max="4" width="16" customWidth="1"/>
    <col min="5" max="8" width="15" customWidth="1"/>
  </cols>
  <sheetData>
    <row r="1" spans="1:8" ht="22.8" x14ac:dyDescent="0.4">
      <c r="A1" s="8" t="s">
        <v>21</v>
      </c>
      <c r="B1" s="8"/>
      <c r="C1" s="8"/>
      <c r="D1" s="8"/>
      <c r="E1" s="8"/>
      <c r="F1" s="8"/>
      <c r="G1" s="8"/>
      <c r="H1" s="8"/>
    </row>
    <row r="2" spans="1:8" x14ac:dyDescent="0.3">
      <c r="A2" s="7" t="s">
        <v>22</v>
      </c>
      <c r="B2" s="7"/>
      <c r="C2" s="7"/>
      <c r="D2" s="7"/>
      <c r="E2" s="7"/>
      <c r="F2" s="7"/>
      <c r="G2" s="7"/>
      <c r="H2" s="7"/>
    </row>
    <row r="4" spans="1:8" ht="18" customHeight="1" x14ac:dyDescent="0.3">
      <c r="A4" s="6" t="s">
        <v>23</v>
      </c>
      <c r="B4" s="6"/>
      <c r="C4" s="6" t="s">
        <v>24</v>
      </c>
      <c r="D4" s="6"/>
      <c r="E4" s="6" t="s">
        <v>25</v>
      </c>
      <c r="F4" s="6"/>
    </row>
    <row r="5" spans="1:8" ht="30" customHeight="1" x14ac:dyDescent="0.3">
      <c r="A5" s="5">
        <f>COUNTA('Raw Data'!$A$2:$A$201)</f>
        <v>200</v>
      </c>
      <c r="B5" s="5"/>
      <c r="C5" s="5">
        <f>COUNTIF('Raw Data'!$C$2:$C$201,"Registered")</f>
        <v>158</v>
      </c>
      <c r="D5" s="5"/>
      <c r="E5" s="4">
        <f>IFERROR(COUNTIF('Raw Data'!$H$2:$H$201,"Present")/C5,0)</f>
        <v>0.84177215189873422</v>
      </c>
      <c r="F5" s="4"/>
    </row>
    <row r="7" spans="1:8" ht="18" customHeight="1" x14ac:dyDescent="0.3">
      <c r="A7" s="6" t="s">
        <v>26</v>
      </c>
      <c r="B7" s="6"/>
      <c r="C7" s="6" t="s">
        <v>27</v>
      </c>
      <c r="D7" s="6"/>
      <c r="E7" s="6" t="s">
        <v>28</v>
      </c>
      <c r="F7" s="6"/>
    </row>
    <row r="8" spans="1:8" ht="30" customHeight="1" x14ac:dyDescent="0.3">
      <c r="A8" s="4">
        <f>IFERROR(COUNTIF('Raw Data'!$I$2:$I$201,"Completed")/C5,0)</f>
        <v>0.620253164556962</v>
      </c>
      <c r="B8" s="4"/>
      <c r="C8" s="3">
        <f>IFERROR(AVERAGEIF('Raw Data'!$I$2:$I$201,"Completed",'Raw Data'!$J$2:$J$201),0)</f>
        <v>4.1530612244897958</v>
      </c>
      <c r="D8" s="3"/>
      <c r="E8" s="5">
        <f>COUNTIF('Exception &amp; Action Tracker'!$K$5:$K$105,"Open")</f>
        <v>101</v>
      </c>
      <c r="F8" s="5"/>
    </row>
    <row r="11" spans="1:8" x14ac:dyDescent="0.3">
      <c r="A11" s="12" t="s">
        <v>29</v>
      </c>
    </row>
    <row r="12" spans="1:8" x14ac:dyDescent="0.3">
      <c r="A12" s="14" t="s">
        <v>30</v>
      </c>
      <c r="B12" s="14" t="s">
        <v>31</v>
      </c>
      <c r="C12" s="14" t="s">
        <v>25</v>
      </c>
      <c r="D12" s="14" t="s">
        <v>26</v>
      </c>
      <c r="E12" s="14" t="s">
        <v>32</v>
      </c>
    </row>
    <row r="13" spans="1:8" x14ac:dyDescent="0.3">
      <c r="A13" s="15" t="s">
        <v>33</v>
      </c>
      <c r="B13" s="16">
        <f>'Registration Tracker'!F4</f>
        <v>0.6875</v>
      </c>
      <c r="C13" s="16">
        <f>'Attendance Tracker'!E4</f>
        <v>0.90909090909090906</v>
      </c>
      <c r="D13" s="16">
        <f>'Completion Dashboard'!F4</f>
        <v>0.81818181818181823</v>
      </c>
      <c r="E13" s="17">
        <f>'Completion Dashboard'!G4</f>
        <v>4.0555555555555554</v>
      </c>
    </row>
    <row r="14" spans="1:8" x14ac:dyDescent="0.3">
      <c r="A14" s="15" t="s">
        <v>34</v>
      </c>
      <c r="B14" s="16">
        <f>'Registration Tracker'!F5</f>
        <v>0.85</v>
      </c>
      <c r="C14" s="16">
        <f>'Attendance Tracker'!E5</f>
        <v>0.94117647058823528</v>
      </c>
      <c r="D14" s="16">
        <f>'Completion Dashboard'!F5</f>
        <v>0.6470588235294118</v>
      </c>
      <c r="E14" s="17">
        <f>'Completion Dashboard'!G5</f>
        <v>3.9545454545454546</v>
      </c>
    </row>
    <row r="15" spans="1:8" x14ac:dyDescent="0.3">
      <c r="A15" s="15" t="s">
        <v>35</v>
      </c>
      <c r="B15" s="16">
        <f>'Registration Tracker'!F6</f>
        <v>0.82608695652173914</v>
      </c>
      <c r="C15" s="16">
        <f>'Attendance Tracker'!E6</f>
        <v>0.78947368421052633</v>
      </c>
      <c r="D15" s="16">
        <f>'Completion Dashboard'!F6</f>
        <v>0.52631578947368418</v>
      </c>
      <c r="E15" s="17">
        <f>'Completion Dashboard'!G6</f>
        <v>4.2</v>
      </c>
    </row>
    <row r="16" spans="1:8" x14ac:dyDescent="0.3">
      <c r="A16" s="15" t="s">
        <v>36</v>
      </c>
      <c r="B16" s="16">
        <f>'Registration Tracker'!F7</f>
        <v>0.78947368421052633</v>
      </c>
      <c r="C16" s="16">
        <f>'Attendance Tracker'!E7</f>
        <v>0.8</v>
      </c>
      <c r="D16" s="16">
        <f>'Completion Dashboard'!F7</f>
        <v>0.56666666666666665</v>
      </c>
      <c r="E16" s="17">
        <f>'Completion Dashboard'!G7</f>
        <v>4.2352941176470589</v>
      </c>
    </row>
    <row r="17" spans="1:5" x14ac:dyDescent="0.3">
      <c r="A17" s="15" t="s">
        <v>37</v>
      </c>
      <c r="B17" s="16">
        <f>'Registration Tracker'!F8</f>
        <v>0.70967741935483875</v>
      </c>
      <c r="C17" s="16">
        <f>'Attendance Tracker'!E8</f>
        <v>0.81818181818181823</v>
      </c>
      <c r="D17" s="16">
        <f>'Completion Dashboard'!F8</f>
        <v>0.54545454545454541</v>
      </c>
      <c r="E17" s="17">
        <f>'Completion Dashboard'!G8</f>
        <v>4.583333333333333</v>
      </c>
    </row>
    <row r="18" spans="1:5" x14ac:dyDescent="0.3">
      <c r="A18" s="15" t="s">
        <v>38</v>
      </c>
      <c r="B18" s="16">
        <f>'Registration Tracker'!F9</f>
        <v>0.86111111111111116</v>
      </c>
      <c r="C18" s="16">
        <f>'Attendance Tracker'!E9</f>
        <v>0.77419354838709675</v>
      </c>
      <c r="D18" s="16">
        <f>'Completion Dashboard'!F9</f>
        <v>0.61290322580645162</v>
      </c>
      <c r="E18" s="17">
        <f>'Completion Dashboard'!G9</f>
        <v>4.1052631578947372</v>
      </c>
    </row>
    <row r="21" spans="1:5" x14ac:dyDescent="0.3">
      <c r="A21" s="12" t="s">
        <v>39</v>
      </c>
    </row>
    <row r="22" spans="1:5" ht="19.5" customHeight="1" x14ac:dyDescent="0.3">
      <c r="A22" s="2" t="str">
        <f>"🔴 Open Pending Actions: "&amp;E8</f>
        <v>🔴 Open Pending Actions: 101</v>
      </c>
      <c r="B22" s="2"/>
      <c r="C22" s="2"/>
      <c r="D22" s="2"/>
    </row>
    <row r="23" spans="1:5" ht="19.5" customHeight="1" x14ac:dyDescent="0.3">
      <c r="A23" s="2" t="str">
        <f>"🟠 Courses Needing Attendance Follow-up: "&amp;COUNTIF('Attendance Tracker'!$G$4:$G$9,"&lt;&gt;Healthy")</f>
        <v>🟠 Courses Needing Attendance Follow-up: 4</v>
      </c>
      <c r="B23" s="2"/>
      <c r="C23" s="2"/>
      <c r="D23" s="2"/>
    </row>
    <row r="24" spans="1:5" ht="19.5" customHeight="1" x14ac:dyDescent="0.3">
      <c r="A24" s="2" t="str">
        <f>"🟡 Waitlisted Participants: "&amp;COUNTIF('Raw Data'!$C$2:$C$201,"Waitlisted")</f>
        <v>🟡 Waitlisted Participants: 26</v>
      </c>
      <c r="B24" s="2"/>
      <c r="C24" s="2"/>
      <c r="D24" s="2"/>
    </row>
    <row r="25" spans="1:5" ht="19.5" customHeight="1" x14ac:dyDescent="0.3">
      <c r="A25" s="2" t="str">
        <f>"🔴 Dropped Participants: "&amp;COUNTIF('Raw Data'!$I$2:$I$201,"Dropped")</f>
        <v>🔴 Dropped Participants: 16</v>
      </c>
      <c r="B25" s="2"/>
      <c r="C25" s="2"/>
      <c r="D25" s="2"/>
    </row>
  </sheetData>
  <mergeCells count="18">
    <mergeCell ref="A24:D24"/>
    <mergeCell ref="A25:D25"/>
    <mergeCell ref="A8:B8"/>
    <mergeCell ref="C8:D8"/>
    <mergeCell ref="E8:F8"/>
    <mergeCell ref="A22:D22"/>
    <mergeCell ref="A23:D23"/>
    <mergeCell ref="A5:B5"/>
    <mergeCell ref="C5:D5"/>
    <mergeCell ref="E5:F5"/>
    <mergeCell ref="A7:B7"/>
    <mergeCell ref="C7:D7"/>
    <mergeCell ref="E7:F7"/>
    <mergeCell ref="A1:H1"/>
    <mergeCell ref="A2:H2"/>
    <mergeCell ref="A4:B4"/>
    <mergeCell ref="C4:D4"/>
    <mergeCell ref="E4:F4"/>
  </mergeCells>
  <conditionalFormatting sqref="A22:D22">
    <cfRule type="iconSet" priority="1">
      <iconSet>
        <cfvo type="percent" val="0"/>
        <cfvo type="percent" val="33"/>
        <cfvo type="percent" val="67"/>
      </iconSet>
    </cfRule>
    <cfRule type="iconSet" priority="2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F2F2"/>
  </sheetPr>
  <dimension ref="A1:L201"/>
  <sheetViews>
    <sheetView topLeftCell="C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24.88671875" customWidth="1"/>
    <col min="3" max="3" width="21.5546875" customWidth="1"/>
    <col min="4" max="4" width="22" customWidth="1"/>
    <col min="5" max="5" width="16.77734375" customWidth="1"/>
    <col min="6" max="6" width="16" customWidth="1"/>
    <col min="7" max="7" width="22" customWidth="1"/>
    <col min="8" max="8" width="18" customWidth="1"/>
    <col min="9" max="9" width="23.33203125" customWidth="1"/>
    <col min="10" max="10" width="23.5546875" customWidth="1"/>
    <col min="11" max="11" width="24" customWidth="1"/>
    <col min="12" max="12" width="13" hidden="1" customWidth="1"/>
  </cols>
  <sheetData>
    <row r="1" spans="1:12" x14ac:dyDescent="0.3">
      <c r="A1" s="14" t="s">
        <v>40</v>
      </c>
      <c r="B1" s="14" t="s">
        <v>41</v>
      </c>
      <c r="C1" s="14" t="s">
        <v>42</v>
      </c>
      <c r="D1" s="14" t="s">
        <v>30</v>
      </c>
      <c r="E1" s="14" t="s">
        <v>43</v>
      </c>
      <c r="F1" s="14" t="s">
        <v>44</v>
      </c>
      <c r="G1" s="14" t="s">
        <v>45</v>
      </c>
      <c r="H1" s="14" t="s">
        <v>46</v>
      </c>
      <c r="I1" s="14" t="s">
        <v>47</v>
      </c>
      <c r="J1" s="14" t="s">
        <v>48</v>
      </c>
      <c r="K1" s="14" t="s">
        <v>49</v>
      </c>
      <c r="L1" s="14" t="s">
        <v>50</v>
      </c>
    </row>
    <row r="2" spans="1:12" x14ac:dyDescent="0.3">
      <c r="A2" s="18" t="s">
        <v>51</v>
      </c>
      <c r="B2" s="15" t="s">
        <v>52</v>
      </c>
      <c r="C2" s="18" t="s">
        <v>24</v>
      </c>
      <c r="D2" s="18" t="s">
        <v>37</v>
      </c>
      <c r="E2" s="18" t="s">
        <v>53</v>
      </c>
      <c r="F2" s="18" t="s">
        <v>54</v>
      </c>
      <c r="G2" s="19">
        <v>46200</v>
      </c>
      <c r="H2" s="18" t="s">
        <v>55</v>
      </c>
      <c r="I2" s="18" t="s">
        <v>56</v>
      </c>
      <c r="J2" s="18">
        <v>5</v>
      </c>
      <c r="K2" s="18"/>
      <c r="L2" s="18" t="str">
        <f>IF(K2="","",COUNTIF($K$2:K2,"&lt;&gt;"))</f>
        <v/>
      </c>
    </row>
    <row r="3" spans="1:12" x14ac:dyDescent="0.3">
      <c r="A3" s="18" t="s">
        <v>57</v>
      </c>
      <c r="B3" s="15" t="s">
        <v>58</v>
      </c>
      <c r="C3" s="18" t="s">
        <v>59</v>
      </c>
      <c r="D3" s="18" t="s">
        <v>37</v>
      </c>
      <c r="E3" s="18" t="s">
        <v>60</v>
      </c>
      <c r="F3" s="18" t="s">
        <v>54</v>
      </c>
      <c r="G3" s="19">
        <v>46197</v>
      </c>
      <c r="H3" s="18"/>
      <c r="I3" s="18"/>
      <c r="J3" s="18"/>
      <c r="K3" s="18"/>
      <c r="L3" s="18" t="str">
        <f>IF(K3="","",COUNTIF($K$2:K3,"&lt;&gt;"))</f>
        <v/>
      </c>
    </row>
    <row r="4" spans="1:12" x14ac:dyDescent="0.3">
      <c r="A4" s="18" t="s">
        <v>61</v>
      </c>
      <c r="B4" s="15" t="s">
        <v>62</v>
      </c>
      <c r="C4" s="18" t="s">
        <v>24</v>
      </c>
      <c r="D4" s="18" t="s">
        <v>35</v>
      </c>
      <c r="E4" s="18" t="s">
        <v>63</v>
      </c>
      <c r="F4" s="18" t="s">
        <v>64</v>
      </c>
      <c r="G4" s="19">
        <v>46170</v>
      </c>
      <c r="H4" s="18" t="s">
        <v>55</v>
      </c>
      <c r="I4" s="18" t="s">
        <v>65</v>
      </c>
      <c r="J4" s="18"/>
      <c r="K4" s="18" t="s">
        <v>66</v>
      </c>
      <c r="L4" s="18">
        <f>IF(K4="","",COUNTIF($K$2:K4,"&lt;&gt;"))</f>
        <v>1</v>
      </c>
    </row>
    <row r="5" spans="1:12" x14ac:dyDescent="0.3">
      <c r="A5" s="18" t="s">
        <v>67</v>
      </c>
      <c r="B5" s="15" t="s">
        <v>68</v>
      </c>
      <c r="C5" s="18" t="s">
        <v>59</v>
      </c>
      <c r="D5" s="18" t="s">
        <v>35</v>
      </c>
      <c r="E5" s="18" t="s">
        <v>69</v>
      </c>
      <c r="F5" s="18" t="s">
        <v>64</v>
      </c>
      <c r="G5" s="19">
        <v>46179</v>
      </c>
      <c r="H5" s="18"/>
      <c r="I5" s="18"/>
      <c r="J5" s="18"/>
      <c r="K5" s="18"/>
      <c r="L5" s="18" t="str">
        <f>IF(K5="","",COUNTIF($K$2:K5,"&lt;&gt;"))</f>
        <v/>
      </c>
    </row>
    <row r="6" spans="1:12" x14ac:dyDescent="0.3">
      <c r="A6" s="18" t="s">
        <v>70</v>
      </c>
      <c r="B6" s="15" t="s">
        <v>71</v>
      </c>
      <c r="C6" s="18" t="s">
        <v>24</v>
      </c>
      <c r="D6" s="18" t="s">
        <v>34</v>
      </c>
      <c r="E6" s="18" t="s">
        <v>69</v>
      </c>
      <c r="F6" s="18" t="s">
        <v>72</v>
      </c>
      <c r="G6" s="19">
        <v>46167</v>
      </c>
      <c r="H6" s="18" t="s">
        <v>55</v>
      </c>
      <c r="I6" s="18" t="s">
        <v>65</v>
      </c>
      <c r="J6" s="18"/>
      <c r="K6" s="18" t="s">
        <v>66</v>
      </c>
      <c r="L6" s="18">
        <f>IF(K6="","",COUNTIF($K$2:K6,"&lt;&gt;"))</f>
        <v>2</v>
      </c>
    </row>
    <row r="7" spans="1:12" x14ac:dyDescent="0.3">
      <c r="A7" s="18" t="s">
        <v>73</v>
      </c>
      <c r="B7" s="15" t="s">
        <v>74</v>
      </c>
      <c r="C7" s="18" t="s">
        <v>24</v>
      </c>
      <c r="D7" s="18" t="s">
        <v>34</v>
      </c>
      <c r="E7" s="18" t="s">
        <v>60</v>
      </c>
      <c r="F7" s="18" t="s">
        <v>72</v>
      </c>
      <c r="G7" s="19">
        <v>46161</v>
      </c>
      <c r="H7" s="18" t="s">
        <v>55</v>
      </c>
      <c r="I7" s="18" t="s">
        <v>75</v>
      </c>
      <c r="J7" s="18"/>
      <c r="K7" s="18" t="s">
        <v>76</v>
      </c>
      <c r="L7" s="18">
        <f>IF(K7="","",COUNTIF($K$2:K7,"&lt;&gt;"))</f>
        <v>3</v>
      </c>
    </row>
    <row r="8" spans="1:12" x14ac:dyDescent="0.3">
      <c r="A8" s="18" t="s">
        <v>77</v>
      </c>
      <c r="B8" s="15" t="s">
        <v>78</v>
      </c>
      <c r="C8" s="18" t="s">
        <v>24</v>
      </c>
      <c r="D8" s="18" t="s">
        <v>37</v>
      </c>
      <c r="E8" s="18" t="s">
        <v>60</v>
      </c>
      <c r="F8" s="18" t="s">
        <v>54</v>
      </c>
      <c r="G8" s="19">
        <v>46197</v>
      </c>
      <c r="H8" s="18" t="s">
        <v>55</v>
      </c>
      <c r="I8" s="18" t="s">
        <v>56</v>
      </c>
      <c r="J8" s="18">
        <v>5</v>
      </c>
      <c r="K8" s="18" t="s">
        <v>79</v>
      </c>
      <c r="L8" s="18">
        <f>IF(K8="","",COUNTIF($K$2:K8,"&lt;&gt;"))</f>
        <v>4</v>
      </c>
    </row>
    <row r="9" spans="1:12" x14ac:dyDescent="0.3">
      <c r="A9" s="18" t="s">
        <v>80</v>
      </c>
      <c r="B9" s="15" t="s">
        <v>81</v>
      </c>
      <c r="C9" s="18" t="s">
        <v>24</v>
      </c>
      <c r="D9" s="18" t="s">
        <v>37</v>
      </c>
      <c r="E9" s="18" t="s">
        <v>69</v>
      </c>
      <c r="F9" s="18" t="s">
        <v>54</v>
      </c>
      <c r="G9" s="19">
        <v>46203</v>
      </c>
      <c r="H9" s="18" t="s">
        <v>55</v>
      </c>
      <c r="I9" s="18" t="s">
        <v>56</v>
      </c>
      <c r="J9" s="18">
        <v>5</v>
      </c>
      <c r="K9" s="18"/>
      <c r="L9" s="18" t="str">
        <f>IF(K9="","",COUNTIF($K$2:K9,"&lt;&gt;"))</f>
        <v/>
      </c>
    </row>
    <row r="10" spans="1:12" x14ac:dyDescent="0.3">
      <c r="A10" s="18" t="s">
        <v>82</v>
      </c>
      <c r="B10" s="15" t="s">
        <v>83</v>
      </c>
      <c r="C10" s="18" t="s">
        <v>24</v>
      </c>
      <c r="D10" s="18" t="s">
        <v>37</v>
      </c>
      <c r="E10" s="18" t="s">
        <v>63</v>
      </c>
      <c r="F10" s="18" t="s">
        <v>54</v>
      </c>
      <c r="G10" s="19">
        <v>46194</v>
      </c>
      <c r="H10" s="18" t="s">
        <v>55</v>
      </c>
      <c r="I10" s="18" t="s">
        <v>56</v>
      </c>
      <c r="J10" s="18">
        <v>5</v>
      </c>
      <c r="K10" s="18"/>
      <c r="L10" s="18" t="str">
        <f>IF(K10="","",COUNTIF($K$2:K10,"&lt;&gt;"))</f>
        <v/>
      </c>
    </row>
    <row r="11" spans="1:12" x14ac:dyDescent="0.3">
      <c r="A11" s="18" t="s">
        <v>84</v>
      </c>
      <c r="B11" s="15" t="s">
        <v>85</v>
      </c>
      <c r="C11" s="18" t="s">
        <v>24</v>
      </c>
      <c r="D11" s="18" t="s">
        <v>37</v>
      </c>
      <c r="E11" s="18" t="s">
        <v>60</v>
      </c>
      <c r="F11" s="18" t="s">
        <v>54</v>
      </c>
      <c r="G11" s="19">
        <v>46197</v>
      </c>
      <c r="H11" s="18" t="s">
        <v>55</v>
      </c>
      <c r="I11" s="18" t="s">
        <v>56</v>
      </c>
      <c r="J11" s="18">
        <v>5</v>
      </c>
      <c r="K11" s="18"/>
      <c r="L11" s="18" t="str">
        <f>IF(K11="","",COUNTIF($K$2:K11,"&lt;&gt;"))</f>
        <v/>
      </c>
    </row>
    <row r="12" spans="1:12" x14ac:dyDescent="0.3">
      <c r="A12" s="18" t="s">
        <v>86</v>
      </c>
      <c r="B12" s="15" t="s">
        <v>87</v>
      </c>
      <c r="C12" s="18" t="s">
        <v>24</v>
      </c>
      <c r="D12" s="18" t="s">
        <v>38</v>
      </c>
      <c r="E12" s="18" t="s">
        <v>60</v>
      </c>
      <c r="F12" s="18" t="s">
        <v>88</v>
      </c>
      <c r="G12" s="19">
        <v>46209</v>
      </c>
      <c r="H12" s="18" t="s">
        <v>89</v>
      </c>
      <c r="I12" s="18"/>
      <c r="J12" s="18"/>
      <c r="K12" s="18" t="s">
        <v>90</v>
      </c>
      <c r="L12" s="18">
        <f>IF(K12="","",COUNTIF($K$2:K12,"&lt;&gt;"))</f>
        <v>5</v>
      </c>
    </row>
    <row r="13" spans="1:12" x14ac:dyDescent="0.3">
      <c r="A13" s="18" t="s">
        <v>91</v>
      </c>
      <c r="B13" s="15" t="s">
        <v>92</v>
      </c>
      <c r="C13" s="18" t="s">
        <v>93</v>
      </c>
      <c r="D13" s="18" t="s">
        <v>34</v>
      </c>
      <c r="E13" s="18" t="s">
        <v>63</v>
      </c>
      <c r="F13" s="18" t="s">
        <v>72</v>
      </c>
      <c r="G13" s="19">
        <v>46158</v>
      </c>
      <c r="H13" s="18"/>
      <c r="I13" s="18"/>
      <c r="J13" s="18"/>
      <c r="K13" s="18" t="s">
        <v>94</v>
      </c>
      <c r="L13" s="18">
        <f>IF(K13="","",COUNTIF($K$2:K13,"&lt;&gt;"))</f>
        <v>6</v>
      </c>
    </row>
    <row r="14" spans="1:12" x14ac:dyDescent="0.3">
      <c r="A14" s="18" t="s">
        <v>95</v>
      </c>
      <c r="B14" s="15" t="s">
        <v>96</v>
      </c>
      <c r="C14" s="18" t="s">
        <v>24</v>
      </c>
      <c r="D14" s="18" t="s">
        <v>33</v>
      </c>
      <c r="E14" s="18" t="s">
        <v>69</v>
      </c>
      <c r="F14" s="18" t="s">
        <v>97</v>
      </c>
      <c r="G14" s="19">
        <v>46155</v>
      </c>
      <c r="H14" s="18" t="s">
        <v>55</v>
      </c>
      <c r="I14" s="18" t="s">
        <v>75</v>
      </c>
      <c r="J14" s="18"/>
      <c r="K14" s="18" t="s">
        <v>76</v>
      </c>
      <c r="L14" s="18">
        <f>IF(K14="","",COUNTIF($K$2:K14,"&lt;&gt;"))</f>
        <v>7</v>
      </c>
    </row>
    <row r="15" spans="1:12" x14ac:dyDescent="0.3">
      <c r="A15" s="18" t="s">
        <v>98</v>
      </c>
      <c r="B15" s="15" t="s">
        <v>99</v>
      </c>
      <c r="C15" s="18" t="s">
        <v>24</v>
      </c>
      <c r="D15" s="18" t="s">
        <v>34</v>
      </c>
      <c r="E15" s="18" t="s">
        <v>63</v>
      </c>
      <c r="F15" s="18" t="s">
        <v>72</v>
      </c>
      <c r="G15" s="19">
        <v>46158</v>
      </c>
      <c r="H15" s="18" t="s">
        <v>55</v>
      </c>
      <c r="I15" s="18" t="s">
        <v>56</v>
      </c>
      <c r="J15" s="18">
        <v>4</v>
      </c>
      <c r="K15" s="18"/>
      <c r="L15" s="18" t="str">
        <f>IF(K15="","",COUNTIF($K$2:K15,"&lt;&gt;"))</f>
        <v/>
      </c>
    </row>
    <row r="16" spans="1:12" x14ac:dyDescent="0.3">
      <c r="A16" s="18" t="s">
        <v>100</v>
      </c>
      <c r="B16" s="15" t="s">
        <v>101</v>
      </c>
      <c r="C16" s="18" t="s">
        <v>93</v>
      </c>
      <c r="D16" s="18" t="s">
        <v>37</v>
      </c>
      <c r="E16" s="18" t="s">
        <v>69</v>
      </c>
      <c r="F16" s="18" t="s">
        <v>54</v>
      </c>
      <c r="G16" s="19">
        <v>46203</v>
      </c>
      <c r="H16" s="18"/>
      <c r="I16" s="18"/>
      <c r="J16" s="18"/>
      <c r="K16" s="18" t="s">
        <v>94</v>
      </c>
      <c r="L16" s="18">
        <f>IF(K16="","",COUNTIF($K$2:K16,"&lt;&gt;"))</f>
        <v>8</v>
      </c>
    </row>
    <row r="17" spans="1:12" x14ac:dyDescent="0.3">
      <c r="A17" s="18" t="s">
        <v>102</v>
      </c>
      <c r="B17" s="15" t="s">
        <v>103</v>
      </c>
      <c r="C17" s="18" t="s">
        <v>93</v>
      </c>
      <c r="D17" s="18" t="s">
        <v>35</v>
      </c>
      <c r="E17" s="18" t="s">
        <v>53</v>
      </c>
      <c r="F17" s="18" t="s">
        <v>64</v>
      </c>
      <c r="G17" s="19">
        <v>46176</v>
      </c>
      <c r="H17" s="18"/>
      <c r="I17" s="18"/>
      <c r="J17" s="18"/>
      <c r="K17" s="18" t="s">
        <v>94</v>
      </c>
      <c r="L17" s="18">
        <f>IF(K17="","",COUNTIF($K$2:K17,"&lt;&gt;"))</f>
        <v>9</v>
      </c>
    </row>
    <row r="18" spans="1:12" x14ac:dyDescent="0.3">
      <c r="A18" s="18" t="s">
        <v>104</v>
      </c>
      <c r="B18" s="15" t="s">
        <v>105</v>
      </c>
      <c r="C18" s="18" t="s">
        <v>24</v>
      </c>
      <c r="D18" s="18" t="s">
        <v>38</v>
      </c>
      <c r="E18" s="18" t="s">
        <v>63</v>
      </c>
      <c r="F18" s="18" t="s">
        <v>88</v>
      </c>
      <c r="G18" s="19">
        <v>46206</v>
      </c>
      <c r="H18" s="18" t="s">
        <v>55</v>
      </c>
      <c r="I18" s="18" t="s">
        <v>56</v>
      </c>
      <c r="J18" s="18">
        <v>5</v>
      </c>
      <c r="K18" s="18"/>
      <c r="L18" s="18" t="str">
        <f>IF(K18="","",COUNTIF($K$2:K18,"&lt;&gt;"))</f>
        <v/>
      </c>
    </row>
    <row r="19" spans="1:12" x14ac:dyDescent="0.3">
      <c r="A19" s="18" t="s">
        <v>106</v>
      </c>
      <c r="B19" s="15" t="s">
        <v>107</v>
      </c>
      <c r="C19" s="18" t="s">
        <v>24</v>
      </c>
      <c r="D19" s="18" t="s">
        <v>37</v>
      </c>
      <c r="E19" s="18" t="s">
        <v>63</v>
      </c>
      <c r="F19" s="18" t="s">
        <v>54</v>
      </c>
      <c r="G19" s="19">
        <v>46194</v>
      </c>
      <c r="H19" s="18" t="s">
        <v>55</v>
      </c>
      <c r="I19" s="18" t="s">
        <v>75</v>
      </c>
      <c r="J19" s="18"/>
      <c r="K19" s="18" t="s">
        <v>76</v>
      </c>
      <c r="L19" s="18">
        <f>IF(K19="","",COUNTIF($K$2:K19,"&lt;&gt;"))</f>
        <v>10</v>
      </c>
    </row>
    <row r="20" spans="1:12" x14ac:dyDescent="0.3">
      <c r="A20" s="18" t="s">
        <v>108</v>
      </c>
      <c r="B20" s="15" t="s">
        <v>109</v>
      </c>
      <c r="C20" s="18" t="s">
        <v>24</v>
      </c>
      <c r="D20" s="18" t="s">
        <v>33</v>
      </c>
      <c r="E20" s="18" t="s">
        <v>60</v>
      </c>
      <c r="F20" s="18" t="s">
        <v>97</v>
      </c>
      <c r="G20" s="19">
        <v>46149</v>
      </c>
      <c r="H20" s="18" t="s">
        <v>55</v>
      </c>
      <c r="I20" s="18" t="s">
        <v>56</v>
      </c>
      <c r="J20" s="18">
        <v>4</v>
      </c>
      <c r="K20" s="18"/>
      <c r="L20" s="18" t="str">
        <f>IF(K20="","",COUNTIF($K$2:K20,"&lt;&gt;"))</f>
        <v/>
      </c>
    </row>
    <row r="21" spans="1:12" x14ac:dyDescent="0.3">
      <c r="A21" s="18" t="s">
        <v>110</v>
      </c>
      <c r="B21" s="15" t="s">
        <v>111</v>
      </c>
      <c r="C21" s="18" t="s">
        <v>24</v>
      </c>
      <c r="D21" s="18" t="s">
        <v>36</v>
      </c>
      <c r="E21" s="18" t="s">
        <v>60</v>
      </c>
      <c r="F21" s="18" t="s">
        <v>112</v>
      </c>
      <c r="G21" s="19">
        <v>46185</v>
      </c>
      <c r="H21" s="18" t="s">
        <v>55</v>
      </c>
      <c r="I21" s="18" t="s">
        <v>56</v>
      </c>
      <c r="J21" s="18">
        <v>5</v>
      </c>
      <c r="K21" s="18"/>
      <c r="L21" s="18" t="str">
        <f>IF(K21="","",COUNTIF($K$2:K21,"&lt;&gt;"))</f>
        <v/>
      </c>
    </row>
    <row r="22" spans="1:12" x14ac:dyDescent="0.3">
      <c r="A22" s="18" t="s">
        <v>113</v>
      </c>
      <c r="B22" s="15" t="s">
        <v>114</v>
      </c>
      <c r="C22" s="18" t="s">
        <v>93</v>
      </c>
      <c r="D22" s="18" t="s">
        <v>33</v>
      </c>
      <c r="E22" s="18" t="s">
        <v>60</v>
      </c>
      <c r="F22" s="18" t="s">
        <v>97</v>
      </c>
      <c r="G22" s="19">
        <v>46149</v>
      </c>
      <c r="H22" s="18"/>
      <c r="I22" s="18"/>
      <c r="J22" s="18"/>
      <c r="K22" s="18" t="s">
        <v>94</v>
      </c>
      <c r="L22" s="18">
        <f>IF(K22="","",COUNTIF($K$2:K22,"&lt;&gt;"))</f>
        <v>11</v>
      </c>
    </row>
    <row r="23" spans="1:12" x14ac:dyDescent="0.3">
      <c r="A23" s="18" t="s">
        <v>115</v>
      </c>
      <c r="B23" s="15" t="s">
        <v>116</v>
      </c>
      <c r="C23" s="18" t="s">
        <v>24</v>
      </c>
      <c r="D23" s="18" t="s">
        <v>34</v>
      </c>
      <c r="E23" s="18" t="s">
        <v>63</v>
      </c>
      <c r="F23" s="18" t="s">
        <v>72</v>
      </c>
      <c r="G23" s="19">
        <v>46158</v>
      </c>
      <c r="H23" s="18" t="s">
        <v>55</v>
      </c>
      <c r="I23" s="18" t="s">
        <v>56</v>
      </c>
      <c r="J23" s="18">
        <v>4</v>
      </c>
      <c r="K23" s="18" t="s">
        <v>79</v>
      </c>
      <c r="L23" s="18">
        <f>IF(K23="","",COUNTIF($K$2:K23,"&lt;&gt;"))</f>
        <v>12</v>
      </c>
    </row>
    <row r="24" spans="1:12" x14ac:dyDescent="0.3">
      <c r="A24" s="18" t="s">
        <v>117</v>
      </c>
      <c r="B24" s="15" t="s">
        <v>118</v>
      </c>
      <c r="C24" s="18" t="s">
        <v>24</v>
      </c>
      <c r="D24" s="18" t="s">
        <v>34</v>
      </c>
      <c r="E24" s="18" t="s">
        <v>60</v>
      </c>
      <c r="F24" s="18" t="s">
        <v>72</v>
      </c>
      <c r="G24" s="19">
        <v>46161</v>
      </c>
      <c r="H24" s="18" t="s">
        <v>55</v>
      </c>
      <c r="I24" s="18" t="s">
        <v>56</v>
      </c>
      <c r="J24" s="18">
        <v>4</v>
      </c>
      <c r="K24" s="18"/>
      <c r="L24" s="18" t="str">
        <f>IF(K24="","",COUNTIF($K$2:K24,"&lt;&gt;"))</f>
        <v/>
      </c>
    </row>
    <row r="25" spans="1:12" x14ac:dyDescent="0.3">
      <c r="A25" s="18" t="s">
        <v>119</v>
      </c>
      <c r="B25" s="15" t="s">
        <v>120</v>
      </c>
      <c r="C25" s="18" t="s">
        <v>24</v>
      </c>
      <c r="D25" s="18" t="s">
        <v>37</v>
      </c>
      <c r="E25" s="18" t="s">
        <v>60</v>
      </c>
      <c r="F25" s="18" t="s">
        <v>54</v>
      </c>
      <c r="G25" s="19">
        <v>46197</v>
      </c>
      <c r="H25" s="18" t="s">
        <v>55</v>
      </c>
      <c r="I25" s="18" t="s">
        <v>75</v>
      </c>
      <c r="J25" s="18"/>
      <c r="K25" s="18" t="s">
        <v>76</v>
      </c>
      <c r="L25" s="18">
        <f>IF(K25="","",COUNTIF($K$2:K25,"&lt;&gt;"))</f>
        <v>13</v>
      </c>
    </row>
    <row r="26" spans="1:12" x14ac:dyDescent="0.3">
      <c r="A26" s="18" t="s">
        <v>121</v>
      </c>
      <c r="B26" s="15" t="s">
        <v>122</v>
      </c>
      <c r="C26" s="18" t="s">
        <v>59</v>
      </c>
      <c r="D26" s="18" t="s">
        <v>37</v>
      </c>
      <c r="E26" s="18" t="s">
        <v>60</v>
      </c>
      <c r="F26" s="18" t="s">
        <v>54</v>
      </c>
      <c r="G26" s="19">
        <v>46197</v>
      </c>
      <c r="H26" s="18"/>
      <c r="I26" s="18"/>
      <c r="J26" s="18"/>
      <c r="K26" s="18"/>
      <c r="L26" s="18" t="str">
        <f>IF(K26="","",COUNTIF($K$2:K26,"&lt;&gt;"))</f>
        <v/>
      </c>
    </row>
    <row r="27" spans="1:12" x14ac:dyDescent="0.3">
      <c r="A27" s="18" t="s">
        <v>123</v>
      </c>
      <c r="B27" s="15" t="s">
        <v>124</v>
      </c>
      <c r="C27" s="18" t="s">
        <v>93</v>
      </c>
      <c r="D27" s="18" t="s">
        <v>33</v>
      </c>
      <c r="E27" s="18" t="s">
        <v>53</v>
      </c>
      <c r="F27" s="18" t="s">
        <v>97</v>
      </c>
      <c r="G27" s="19">
        <v>46152</v>
      </c>
      <c r="H27" s="18"/>
      <c r="I27" s="18"/>
      <c r="J27" s="18"/>
      <c r="K27" s="18" t="s">
        <v>94</v>
      </c>
      <c r="L27" s="18">
        <f>IF(K27="","",COUNTIF($K$2:K27,"&lt;&gt;"))</f>
        <v>14</v>
      </c>
    </row>
    <row r="28" spans="1:12" x14ac:dyDescent="0.3">
      <c r="A28" s="18" t="s">
        <v>125</v>
      </c>
      <c r="B28" s="15" t="s">
        <v>126</v>
      </c>
      <c r="C28" s="18" t="s">
        <v>24</v>
      </c>
      <c r="D28" s="18" t="s">
        <v>34</v>
      </c>
      <c r="E28" s="18" t="s">
        <v>63</v>
      </c>
      <c r="F28" s="18" t="s">
        <v>72</v>
      </c>
      <c r="G28" s="19">
        <v>46158</v>
      </c>
      <c r="H28" s="18" t="s">
        <v>55</v>
      </c>
      <c r="I28" s="18" t="s">
        <v>56</v>
      </c>
      <c r="J28" s="18">
        <v>3</v>
      </c>
      <c r="K28" s="18"/>
      <c r="L28" s="18" t="str">
        <f>IF(K28="","",COUNTIF($K$2:K28,"&lt;&gt;"))</f>
        <v/>
      </c>
    </row>
    <row r="29" spans="1:12" x14ac:dyDescent="0.3">
      <c r="A29" s="18" t="s">
        <v>127</v>
      </c>
      <c r="B29" s="15" t="s">
        <v>128</v>
      </c>
      <c r="C29" s="18" t="s">
        <v>24</v>
      </c>
      <c r="D29" s="18" t="s">
        <v>35</v>
      </c>
      <c r="E29" s="18" t="s">
        <v>69</v>
      </c>
      <c r="F29" s="18" t="s">
        <v>64</v>
      </c>
      <c r="G29" s="19">
        <v>46179</v>
      </c>
      <c r="H29" s="18" t="s">
        <v>55</v>
      </c>
      <c r="I29" s="18" t="s">
        <v>65</v>
      </c>
      <c r="J29" s="18"/>
      <c r="K29" s="18" t="s">
        <v>66</v>
      </c>
      <c r="L29" s="18">
        <f>IF(K29="","",COUNTIF($K$2:K29,"&lt;&gt;"))</f>
        <v>15</v>
      </c>
    </row>
    <row r="30" spans="1:12" x14ac:dyDescent="0.3">
      <c r="A30" s="18" t="s">
        <v>129</v>
      </c>
      <c r="B30" s="15" t="s">
        <v>130</v>
      </c>
      <c r="C30" s="18" t="s">
        <v>24</v>
      </c>
      <c r="D30" s="18" t="s">
        <v>34</v>
      </c>
      <c r="E30" s="18" t="s">
        <v>63</v>
      </c>
      <c r="F30" s="18" t="s">
        <v>72</v>
      </c>
      <c r="G30" s="19">
        <v>46158</v>
      </c>
      <c r="H30" s="18" t="s">
        <v>55</v>
      </c>
      <c r="I30" s="18" t="s">
        <v>56</v>
      </c>
      <c r="J30" s="18">
        <v>3</v>
      </c>
      <c r="K30" s="18"/>
      <c r="L30" s="18" t="str">
        <f>IF(K30="","",COUNTIF($K$2:K30,"&lt;&gt;"))</f>
        <v/>
      </c>
    </row>
    <row r="31" spans="1:12" x14ac:dyDescent="0.3">
      <c r="A31" s="18" t="s">
        <v>131</v>
      </c>
      <c r="B31" s="15" t="s">
        <v>132</v>
      </c>
      <c r="C31" s="18" t="s">
        <v>59</v>
      </c>
      <c r="D31" s="18" t="s">
        <v>33</v>
      </c>
      <c r="E31" s="18" t="s">
        <v>60</v>
      </c>
      <c r="F31" s="18" t="s">
        <v>97</v>
      </c>
      <c r="G31" s="19">
        <v>46149</v>
      </c>
      <c r="H31" s="18"/>
      <c r="I31" s="18"/>
      <c r="J31" s="18"/>
      <c r="K31" s="18"/>
      <c r="L31" s="18" t="str">
        <f>IF(K31="","",COUNTIF($K$2:K31,"&lt;&gt;"))</f>
        <v/>
      </c>
    </row>
    <row r="32" spans="1:12" x14ac:dyDescent="0.3">
      <c r="A32" s="18" t="s">
        <v>133</v>
      </c>
      <c r="B32" s="15" t="s">
        <v>134</v>
      </c>
      <c r="C32" s="18" t="s">
        <v>24</v>
      </c>
      <c r="D32" s="18" t="s">
        <v>33</v>
      </c>
      <c r="E32" s="18" t="s">
        <v>60</v>
      </c>
      <c r="F32" s="18" t="s">
        <v>97</v>
      </c>
      <c r="G32" s="19">
        <v>46149</v>
      </c>
      <c r="H32" s="18" t="s">
        <v>55</v>
      </c>
      <c r="I32" s="18" t="s">
        <v>56</v>
      </c>
      <c r="J32" s="18">
        <v>4</v>
      </c>
      <c r="K32" s="18"/>
      <c r="L32" s="18" t="str">
        <f>IF(K32="","",COUNTIF($K$2:K32,"&lt;&gt;"))</f>
        <v/>
      </c>
    </row>
    <row r="33" spans="1:12" x14ac:dyDescent="0.3">
      <c r="A33" s="18" t="s">
        <v>135</v>
      </c>
      <c r="B33" s="15" t="s">
        <v>136</v>
      </c>
      <c r="C33" s="18" t="s">
        <v>24</v>
      </c>
      <c r="D33" s="18" t="s">
        <v>34</v>
      </c>
      <c r="E33" s="18" t="s">
        <v>53</v>
      </c>
      <c r="F33" s="18" t="s">
        <v>72</v>
      </c>
      <c r="G33" s="19">
        <v>46164</v>
      </c>
      <c r="H33" s="18" t="s">
        <v>55</v>
      </c>
      <c r="I33" s="18" t="s">
        <v>75</v>
      </c>
      <c r="J33" s="18"/>
      <c r="K33" s="18" t="s">
        <v>76</v>
      </c>
      <c r="L33" s="18">
        <f>IF(K33="","",COUNTIF($K$2:K33,"&lt;&gt;"))</f>
        <v>16</v>
      </c>
    </row>
    <row r="34" spans="1:12" x14ac:dyDescent="0.3">
      <c r="A34" s="18" t="s">
        <v>137</v>
      </c>
      <c r="B34" s="15" t="s">
        <v>138</v>
      </c>
      <c r="C34" s="18" t="s">
        <v>24</v>
      </c>
      <c r="D34" s="18" t="s">
        <v>38</v>
      </c>
      <c r="E34" s="18" t="s">
        <v>60</v>
      </c>
      <c r="F34" s="18" t="s">
        <v>88</v>
      </c>
      <c r="G34" s="19">
        <v>46209</v>
      </c>
      <c r="H34" s="18" t="s">
        <v>55</v>
      </c>
      <c r="I34" s="18" t="s">
        <v>56</v>
      </c>
      <c r="J34" s="18">
        <v>5</v>
      </c>
      <c r="K34" s="18"/>
      <c r="L34" s="18" t="str">
        <f>IF(K34="","",COUNTIF($K$2:K34,"&lt;&gt;"))</f>
        <v/>
      </c>
    </row>
    <row r="35" spans="1:12" x14ac:dyDescent="0.3">
      <c r="A35" s="18" t="s">
        <v>139</v>
      </c>
      <c r="B35" s="15" t="s">
        <v>140</v>
      </c>
      <c r="C35" s="18" t="s">
        <v>24</v>
      </c>
      <c r="D35" s="18" t="s">
        <v>37</v>
      </c>
      <c r="E35" s="18" t="s">
        <v>60</v>
      </c>
      <c r="F35" s="18" t="s">
        <v>54</v>
      </c>
      <c r="G35" s="19">
        <v>46197</v>
      </c>
      <c r="H35" s="18" t="s">
        <v>55</v>
      </c>
      <c r="I35" s="18" t="s">
        <v>56</v>
      </c>
      <c r="J35" s="18">
        <v>3</v>
      </c>
      <c r="K35" s="18"/>
      <c r="L35" s="18" t="str">
        <f>IF(K35="","",COUNTIF($K$2:K35,"&lt;&gt;"))</f>
        <v/>
      </c>
    </row>
    <row r="36" spans="1:12" x14ac:dyDescent="0.3">
      <c r="A36" s="18" t="s">
        <v>141</v>
      </c>
      <c r="B36" s="15" t="s">
        <v>142</v>
      </c>
      <c r="C36" s="18" t="s">
        <v>24</v>
      </c>
      <c r="D36" s="18" t="s">
        <v>36</v>
      </c>
      <c r="E36" s="18" t="s">
        <v>60</v>
      </c>
      <c r="F36" s="18" t="s">
        <v>112</v>
      </c>
      <c r="G36" s="19">
        <v>46185</v>
      </c>
      <c r="H36" s="18" t="s">
        <v>89</v>
      </c>
      <c r="I36" s="18"/>
      <c r="J36" s="18"/>
      <c r="K36" s="18" t="s">
        <v>90</v>
      </c>
      <c r="L36" s="18">
        <f>IF(K36="","",COUNTIF($K$2:K36,"&lt;&gt;"))</f>
        <v>17</v>
      </c>
    </row>
    <row r="37" spans="1:12" x14ac:dyDescent="0.3">
      <c r="A37" s="18" t="s">
        <v>143</v>
      </c>
      <c r="B37" s="15" t="s">
        <v>144</v>
      </c>
      <c r="C37" s="18" t="s">
        <v>24</v>
      </c>
      <c r="D37" s="18" t="s">
        <v>34</v>
      </c>
      <c r="E37" s="18" t="s">
        <v>63</v>
      </c>
      <c r="F37" s="18" t="s">
        <v>72</v>
      </c>
      <c r="G37" s="19">
        <v>46158</v>
      </c>
      <c r="H37" s="18" t="s">
        <v>55</v>
      </c>
      <c r="I37" s="18" t="s">
        <v>56</v>
      </c>
      <c r="J37" s="18">
        <v>5</v>
      </c>
      <c r="K37" s="18" t="s">
        <v>79</v>
      </c>
      <c r="L37" s="18">
        <f>IF(K37="","",COUNTIF($K$2:K37,"&lt;&gt;"))</f>
        <v>18</v>
      </c>
    </row>
    <row r="38" spans="1:12" x14ac:dyDescent="0.3">
      <c r="A38" s="18" t="s">
        <v>145</v>
      </c>
      <c r="B38" s="15" t="s">
        <v>146</v>
      </c>
      <c r="C38" s="18" t="s">
        <v>24</v>
      </c>
      <c r="D38" s="18" t="s">
        <v>34</v>
      </c>
      <c r="E38" s="18" t="s">
        <v>69</v>
      </c>
      <c r="F38" s="18" t="s">
        <v>72</v>
      </c>
      <c r="G38" s="19">
        <v>46167</v>
      </c>
      <c r="H38" s="18" t="s">
        <v>55</v>
      </c>
      <c r="I38" s="18" t="s">
        <v>56</v>
      </c>
      <c r="J38" s="18">
        <v>3</v>
      </c>
      <c r="K38" s="18"/>
      <c r="L38" s="18" t="str">
        <f>IF(K38="","",COUNTIF($K$2:K38,"&lt;&gt;"))</f>
        <v/>
      </c>
    </row>
    <row r="39" spans="1:12" x14ac:dyDescent="0.3">
      <c r="A39" s="18" t="s">
        <v>147</v>
      </c>
      <c r="B39" s="15" t="s">
        <v>148</v>
      </c>
      <c r="C39" s="18" t="s">
        <v>59</v>
      </c>
      <c r="D39" s="18" t="s">
        <v>34</v>
      </c>
      <c r="E39" s="18" t="s">
        <v>60</v>
      </c>
      <c r="F39" s="18" t="s">
        <v>72</v>
      </c>
      <c r="G39" s="19">
        <v>46161</v>
      </c>
      <c r="H39" s="18"/>
      <c r="I39" s="18"/>
      <c r="J39" s="18"/>
      <c r="K39" s="18"/>
      <c r="L39" s="18" t="str">
        <f>IF(K39="","",COUNTIF($K$2:K39,"&lt;&gt;"))</f>
        <v/>
      </c>
    </row>
    <row r="40" spans="1:12" x14ac:dyDescent="0.3">
      <c r="A40" s="18" t="s">
        <v>149</v>
      </c>
      <c r="B40" s="15" t="s">
        <v>150</v>
      </c>
      <c r="C40" s="18" t="s">
        <v>24</v>
      </c>
      <c r="D40" s="18" t="s">
        <v>33</v>
      </c>
      <c r="E40" s="18" t="s">
        <v>63</v>
      </c>
      <c r="F40" s="18" t="s">
        <v>97</v>
      </c>
      <c r="G40" s="19">
        <v>46146</v>
      </c>
      <c r="H40" s="18" t="s">
        <v>55</v>
      </c>
      <c r="I40" s="18" t="s">
        <v>56</v>
      </c>
      <c r="J40" s="18">
        <v>3</v>
      </c>
      <c r="K40" s="18"/>
      <c r="L40" s="18" t="str">
        <f>IF(K40="","",COUNTIF($K$2:K40,"&lt;&gt;"))</f>
        <v/>
      </c>
    </row>
    <row r="41" spans="1:12" x14ac:dyDescent="0.3">
      <c r="A41" s="18" t="s">
        <v>151</v>
      </c>
      <c r="B41" s="15" t="s">
        <v>152</v>
      </c>
      <c r="C41" s="18" t="s">
        <v>93</v>
      </c>
      <c r="D41" s="18" t="s">
        <v>35</v>
      </c>
      <c r="E41" s="18" t="s">
        <v>53</v>
      </c>
      <c r="F41" s="18" t="s">
        <v>64</v>
      </c>
      <c r="G41" s="19">
        <v>46176</v>
      </c>
      <c r="H41" s="18"/>
      <c r="I41" s="18"/>
      <c r="J41" s="18"/>
      <c r="K41" s="18" t="s">
        <v>94</v>
      </c>
      <c r="L41" s="18">
        <f>IF(K41="","",COUNTIF($K$2:K41,"&lt;&gt;"))</f>
        <v>19</v>
      </c>
    </row>
    <row r="42" spans="1:12" x14ac:dyDescent="0.3">
      <c r="A42" s="18" t="s">
        <v>153</v>
      </c>
      <c r="B42" s="15" t="s">
        <v>154</v>
      </c>
      <c r="C42" s="18" t="s">
        <v>93</v>
      </c>
      <c r="D42" s="18" t="s">
        <v>36</v>
      </c>
      <c r="E42" s="18" t="s">
        <v>60</v>
      </c>
      <c r="F42" s="18" t="s">
        <v>112</v>
      </c>
      <c r="G42" s="19">
        <v>46185</v>
      </c>
      <c r="H42" s="18"/>
      <c r="I42" s="18"/>
      <c r="J42" s="18"/>
      <c r="K42" s="18" t="s">
        <v>94</v>
      </c>
      <c r="L42" s="18">
        <f>IF(K42="","",COUNTIF($K$2:K42,"&lt;&gt;"))</f>
        <v>20</v>
      </c>
    </row>
    <row r="43" spans="1:12" x14ac:dyDescent="0.3">
      <c r="A43" s="18" t="s">
        <v>155</v>
      </c>
      <c r="B43" s="15" t="s">
        <v>156</v>
      </c>
      <c r="C43" s="18" t="s">
        <v>24</v>
      </c>
      <c r="D43" s="18" t="s">
        <v>38</v>
      </c>
      <c r="E43" s="18" t="s">
        <v>69</v>
      </c>
      <c r="F43" s="18" t="s">
        <v>88</v>
      </c>
      <c r="G43" s="19">
        <v>46215</v>
      </c>
      <c r="H43" s="18" t="s">
        <v>55</v>
      </c>
      <c r="I43" s="18" t="s">
        <v>56</v>
      </c>
      <c r="J43" s="18">
        <v>3</v>
      </c>
      <c r="K43" s="18"/>
      <c r="L43" s="18" t="str">
        <f>IF(K43="","",COUNTIF($K$2:K43,"&lt;&gt;"))</f>
        <v/>
      </c>
    </row>
    <row r="44" spans="1:12" x14ac:dyDescent="0.3">
      <c r="A44" s="18" t="s">
        <v>157</v>
      </c>
      <c r="B44" s="15" t="s">
        <v>158</v>
      </c>
      <c r="C44" s="18" t="s">
        <v>24</v>
      </c>
      <c r="D44" s="18" t="s">
        <v>35</v>
      </c>
      <c r="E44" s="18" t="s">
        <v>63</v>
      </c>
      <c r="F44" s="18" t="s">
        <v>64</v>
      </c>
      <c r="G44" s="19">
        <v>46170</v>
      </c>
      <c r="H44" s="18" t="s">
        <v>55</v>
      </c>
      <c r="I44" s="18" t="s">
        <v>56</v>
      </c>
      <c r="J44" s="18">
        <v>4</v>
      </c>
      <c r="K44" s="18"/>
      <c r="L44" s="18" t="str">
        <f>IF(K44="","",COUNTIF($K$2:K44,"&lt;&gt;"))</f>
        <v/>
      </c>
    </row>
    <row r="45" spans="1:12" x14ac:dyDescent="0.3">
      <c r="A45" s="18" t="s">
        <v>159</v>
      </c>
      <c r="B45" s="15" t="s">
        <v>160</v>
      </c>
      <c r="C45" s="18" t="s">
        <v>24</v>
      </c>
      <c r="D45" s="18" t="s">
        <v>38</v>
      </c>
      <c r="E45" s="18" t="s">
        <v>53</v>
      </c>
      <c r="F45" s="18" t="s">
        <v>88</v>
      </c>
      <c r="G45" s="19">
        <v>46212</v>
      </c>
      <c r="H45" s="18" t="s">
        <v>89</v>
      </c>
      <c r="I45" s="18"/>
      <c r="J45" s="18"/>
      <c r="K45" s="18" t="s">
        <v>90</v>
      </c>
      <c r="L45" s="18">
        <f>IF(K45="","",COUNTIF($K$2:K45,"&lt;&gt;"))</f>
        <v>21</v>
      </c>
    </row>
    <row r="46" spans="1:12" x14ac:dyDescent="0.3">
      <c r="A46" s="18" t="s">
        <v>161</v>
      </c>
      <c r="B46" s="15" t="s">
        <v>162</v>
      </c>
      <c r="C46" s="18" t="s">
        <v>93</v>
      </c>
      <c r="D46" s="18" t="s">
        <v>33</v>
      </c>
      <c r="E46" s="18" t="s">
        <v>60</v>
      </c>
      <c r="F46" s="18" t="s">
        <v>97</v>
      </c>
      <c r="G46" s="19">
        <v>46149</v>
      </c>
      <c r="H46" s="18"/>
      <c r="I46" s="18"/>
      <c r="J46" s="18"/>
      <c r="K46" s="18" t="s">
        <v>94</v>
      </c>
      <c r="L46" s="18">
        <f>IF(K46="","",COUNTIF($K$2:K46,"&lt;&gt;"))</f>
        <v>22</v>
      </c>
    </row>
    <row r="47" spans="1:12" x14ac:dyDescent="0.3">
      <c r="A47" s="18" t="s">
        <v>163</v>
      </c>
      <c r="B47" s="15" t="s">
        <v>164</v>
      </c>
      <c r="C47" s="18" t="s">
        <v>24</v>
      </c>
      <c r="D47" s="18" t="s">
        <v>34</v>
      </c>
      <c r="E47" s="18" t="s">
        <v>69</v>
      </c>
      <c r="F47" s="18" t="s">
        <v>72</v>
      </c>
      <c r="G47" s="19">
        <v>46167</v>
      </c>
      <c r="H47" s="18" t="s">
        <v>55</v>
      </c>
      <c r="I47" s="18" t="s">
        <v>56</v>
      </c>
      <c r="J47" s="18">
        <v>4</v>
      </c>
      <c r="K47" s="18"/>
      <c r="L47" s="18" t="str">
        <f>IF(K47="","",COUNTIF($K$2:K47,"&lt;&gt;"))</f>
        <v/>
      </c>
    </row>
    <row r="48" spans="1:12" x14ac:dyDescent="0.3">
      <c r="A48" s="18" t="s">
        <v>165</v>
      </c>
      <c r="B48" s="15" t="s">
        <v>166</v>
      </c>
      <c r="C48" s="18" t="s">
        <v>24</v>
      </c>
      <c r="D48" s="18" t="s">
        <v>36</v>
      </c>
      <c r="E48" s="18" t="s">
        <v>53</v>
      </c>
      <c r="F48" s="18" t="s">
        <v>112</v>
      </c>
      <c r="G48" s="19">
        <v>46188</v>
      </c>
      <c r="H48" s="18" t="s">
        <v>55</v>
      </c>
      <c r="I48" s="18" t="s">
        <v>75</v>
      </c>
      <c r="J48" s="18"/>
      <c r="K48" s="18" t="s">
        <v>76</v>
      </c>
      <c r="L48" s="18">
        <f>IF(K48="","",COUNTIF($K$2:K48,"&lt;&gt;"))</f>
        <v>23</v>
      </c>
    </row>
    <row r="49" spans="1:12" x14ac:dyDescent="0.3">
      <c r="A49" s="18" t="s">
        <v>167</v>
      </c>
      <c r="B49" s="15" t="s">
        <v>168</v>
      </c>
      <c r="C49" s="18" t="s">
        <v>24</v>
      </c>
      <c r="D49" s="18" t="s">
        <v>34</v>
      </c>
      <c r="E49" s="18" t="s">
        <v>69</v>
      </c>
      <c r="F49" s="18" t="s">
        <v>72</v>
      </c>
      <c r="G49" s="19">
        <v>46167</v>
      </c>
      <c r="H49" s="18" t="s">
        <v>55</v>
      </c>
      <c r="I49" s="18" t="s">
        <v>65</v>
      </c>
      <c r="J49" s="18"/>
      <c r="K49" s="18" t="s">
        <v>66</v>
      </c>
      <c r="L49" s="18">
        <f>IF(K49="","",COUNTIF($K$2:K49,"&lt;&gt;"))</f>
        <v>24</v>
      </c>
    </row>
    <row r="50" spans="1:12" x14ac:dyDescent="0.3">
      <c r="A50" s="18" t="s">
        <v>169</v>
      </c>
      <c r="B50" s="15" t="s">
        <v>170</v>
      </c>
      <c r="C50" s="18" t="s">
        <v>24</v>
      </c>
      <c r="D50" s="18" t="s">
        <v>38</v>
      </c>
      <c r="E50" s="18" t="s">
        <v>60</v>
      </c>
      <c r="F50" s="18" t="s">
        <v>88</v>
      </c>
      <c r="G50" s="19">
        <v>46209</v>
      </c>
      <c r="H50" s="18" t="s">
        <v>55</v>
      </c>
      <c r="I50" s="18" t="s">
        <v>56</v>
      </c>
      <c r="J50" s="18">
        <v>4</v>
      </c>
      <c r="K50" s="18"/>
      <c r="L50" s="18" t="str">
        <f>IF(K50="","",COUNTIF($K$2:K50,"&lt;&gt;"))</f>
        <v/>
      </c>
    </row>
    <row r="51" spans="1:12" x14ac:dyDescent="0.3">
      <c r="A51" s="18" t="s">
        <v>171</v>
      </c>
      <c r="B51" s="15" t="s">
        <v>172</v>
      </c>
      <c r="C51" s="18" t="s">
        <v>24</v>
      </c>
      <c r="D51" s="18" t="s">
        <v>35</v>
      </c>
      <c r="E51" s="18" t="s">
        <v>53</v>
      </c>
      <c r="F51" s="18" t="s">
        <v>64</v>
      </c>
      <c r="G51" s="19">
        <v>46176</v>
      </c>
      <c r="H51" s="18" t="s">
        <v>55</v>
      </c>
      <c r="I51" s="18" t="s">
        <v>65</v>
      </c>
      <c r="J51" s="18"/>
      <c r="K51" s="18" t="s">
        <v>66</v>
      </c>
      <c r="L51" s="18">
        <f>IF(K51="","",COUNTIF($K$2:K51,"&lt;&gt;"))</f>
        <v>25</v>
      </c>
    </row>
    <row r="52" spans="1:12" x14ac:dyDescent="0.3">
      <c r="A52" s="18" t="s">
        <v>173</v>
      </c>
      <c r="B52" s="15" t="s">
        <v>174</v>
      </c>
      <c r="C52" s="18" t="s">
        <v>24</v>
      </c>
      <c r="D52" s="18" t="s">
        <v>33</v>
      </c>
      <c r="E52" s="18" t="s">
        <v>53</v>
      </c>
      <c r="F52" s="18" t="s">
        <v>97</v>
      </c>
      <c r="G52" s="19">
        <v>46152</v>
      </c>
      <c r="H52" s="18" t="s">
        <v>55</v>
      </c>
      <c r="I52" s="18" t="s">
        <v>65</v>
      </c>
      <c r="J52" s="18"/>
      <c r="K52" s="18" t="s">
        <v>66</v>
      </c>
      <c r="L52" s="18">
        <f>IF(K52="","",COUNTIF($K$2:K52,"&lt;&gt;"))</f>
        <v>26</v>
      </c>
    </row>
    <row r="53" spans="1:12" x14ac:dyDescent="0.3">
      <c r="A53" s="18" t="s">
        <v>175</v>
      </c>
      <c r="B53" s="15" t="s">
        <v>176</v>
      </c>
      <c r="C53" s="18" t="s">
        <v>24</v>
      </c>
      <c r="D53" s="18" t="s">
        <v>35</v>
      </c>
      <c r="E53" s="18" t="s">
        <v>69</v>
      </c>
      <c r="F53" s="18" t="s">
        <v>64</v>
      </c>
      <c r="G53" s="19">
        <v>46179</v>
      </c>
      <c r="H53" s="18" t="s">
        <v>55</v>
      </c>
      <c r="I53" s="18" t="s">
        <v>56</v>
      </c>
      <c r="J53" s="18">
        <v>4</v>
      </c>
      <c r="K53" s="18"/>
      <c r="L53" s="18" t="str">
        <f>IF(K53="","",COUNTIF($K$2:K53,"&lt;&gt;"))</f>
        <v/>
      </c>
    </row>
    <row r="54" spans="1:12" x14ac:dyDescent="0.3">
      <c r="A54" s="18" t="s">
        <v>177</v>
      </c>
      <c r="B54" s="15" t="s">
        <v>178</v>
      </c>
      <c r="C54" s="18" t="s">
        <v>24</v>
      </c>
      <c r="D54" s="18" t="s">
        <v>36</v>
      </c>
      <c r="E54" s="18" t="s">
        <v>63</v>
      </c>
      <c r="F54" s="18" t="s">
        <v>112</v>
      </c>
      <c r="G54" s="19">
        <v>46182</v>
      </c>
      <c r="H54" s="18" t="s">
        <v>55</v>
      </c>
      <c r="I54" s="18" t="s">
        <v>65</v>
      </c>
      <c r="J54" s="18"/>
      <c r="K54" s="18" t="s">
        <v>66</v>
      </c>
      <c r="L54" s="18">
        <f>IF(K54="","",COUNTIF($K$2:K54,"&lt;&gt;"))</f>
        <v>27</v>
      </c>
    </row>
    <row r="55" spans="1:12" x14ac:dyDescent="0.3">
      <c r="A55" s="18" t="s">
        <v>179</v>
      </c>
      <c r="B55" s="15" t="s">
        <v>180</v>
      </c>
      <c r="C55" s="18" t="s">
        <v>24</v>
      </c>
      <c r="D55" s="18" t="s">
        <v>37</v>
      </c>
      <c r="E55" s="18" t="s">
        <v>60</v>
      </c>
      <c r="F55" s="18" t="s">
        <v>54</v>
      </c>
      <c r="G55" s="19">
        <v>46197</v>
      </c>
      <c r="H55" s="18" t="s">
        <v>89</v>
      </c>
      <c r="I55" s="18"/>
      <c r="J55" s="18"/>
      <c r="K55" s="18" t="s">
        <v>90</v>
      </c>
      <c r="L55" s="18">
        <f>IF(K55="","",COUNTIF($K$2:K55,"&lt;&gt;"))</f>
        <v>28</v>
      </c>
    </row>
    <row r="56" spans="1:12" x14ac:dyDescent="0.3">
      <c r="A56" s="18" t="s">
        <v>181</v>
      </c>
      <c r="B56" s="15" t="s">
        <v>182</v>
      </c>
      <c r="C56" s="18" t="s">
        <v>24</v>
      </c>
      <c r="D56" s="18" t="s">
        <v>33</v>
      </c>
      <c r="E56" s="18" t="s">
        <v>69</v>
      </c>
      <c r="F56" s="18" t="s">
        <v>97</v>
      </c>
      <c r="G56" s="19">
        <v>46155</v>
      </c>
      <c r="H56" s="18" t="s">
        <v>55</v>
      </c>
      <c r="I56" s="18" t="s">
        <v>56</v>
      </c>
      <c r="J56" s="18">
        <v>4</v>
      </c>
      <c r="K56" s="18"/>
      <c r="L56" s="18" t="str">
        <f>IF(K56="","",COUNTIF($K$2:K56,"&lt;&gt;"))</f>
        <v/>
      </c>
    </row>
    <row r="57" spans="1:12" x14ac:dyDescent="0.3">
      <c r="A57" s="18" t="s">
        <v>183</v>
      </c>
      <c r="B57" s="15" t="s">
        <v>184</v>
      </c>
      <c r="C57" s="18" t="s">
        <v>24</v>
      </c>
      <c r="D57" s="18" t="s">
        <v>34</v>
      </c>
      <c r="E57" s="18" t="s">
        <v>60</v>
      </c>
      <c r="F57" s="18" t="s">
        <v>72</v>
      </c>
      <c r="G57" s="19">
        <v>46161</v>
      </c>
      <c r="H57" s="18" t="s">
        <v>55</v>
      </c>
      <c r="I57" s="18" t="s">
        <v>56</v>
      </c>
      <c r="J57" s="18">
        <v>5</v>
      </c>
      <c r="K57" s="18"/>
      <c r="L57" s="18" t="str">
        <f>IF(K57="","",COUNTIF($K$2:K57,"&lt;&gt;"))</f>
        <v/>
      </c>
    </row>
    <row r="58" spans="1:12" x14ac:dyDescent="0.3">
      <c r="A58" s="18" t="s">
        <v>185</v>
      </c>
      <c r="B58" s="15" t="s">
        <v>186</v>
      </c>
      <c r="C58" s="18" t="s">
        <v>93</v>
      </c>
      <c r="D58" s="18" t="s">
        <v>33</v>
      </c>
      <c r="E58" s="18" t="s">
        <v>60</v>
      </c>
      <c r="F58" s="18" t="s">
        <v>97</v>
      </c>
      <c r="G58" s="19">
        <v>46149</v>
      </c>
      <c r="H58" s="18"/>
      <c r="I58" s="18"/>
      <c r="J58" s="18"/>
      <c r="K58" s="18" t="s">
        <v>94</v>
      </c>
      <c r="L58" s="18">
        <f>IF(K58="","",COUNTIF($K$2:K58,"&lt;&gt;"))</f>
        <v>29</v>
      </c>
    </row>
    <row r="59" spans="1:12" x14ac:dyDescent="0.3">
      <c r="A59" s="18" t="s">
        <v>187</v>
      </c>
      <c r="B59" s="15" t="s">
        <v>188</v>
      </c>
      <c r="C59" s="18" t="s">
        <v>59</v>
      </c>
      <c r="D59" s="18" t="s">
        <v>36</v>
      </c>
      <c r="E59" s="18" t="s">
        <v>60</v>
      </c>
      <c r="F59" s="18" t="s">
        <v>112</v>
      </c>
      <c r="G59" s="19">
        <v>46185</v>
      </c>
      <c r="H59" s="18"/>
      <c r="I59" s="18"/>
      <c r="J59" s="18"/>
      <c r="K59" s="18"/>
      <c r="L59" s="18" t="str">
        <f>IF(K59="","",COUNTIF($K$2:K59,"&lt;&gt;"))</f>
        <v/>
      </c>
    </row>
    <row r="60" spans="1:12" x14ac:dyDescent="0.3">
      <c r="A60" s="18" t="s">
        <v>189</v>
      </c>
      <c r="B60" s="15" t="s">
        <v>190</v>
      </c>
      <c r="C60" s="18" t="s">
        <v>24</v>
      </c>
      <c r="D60" s="18" t="s">
        <v>35</v>
      </c>
      <c r="E60" s="18" t="s">
        <v>53</v>
      </c>
      <c r="F60" s="18" t="s">
        <v>64</v>
      </c>
      <c r="G60" s="19">
        <v>46176</v>
      </c>
      <c r="H60" s="18" t="s">
        <v>55</v>
      </c>
      <c r="I60" s="18" t="s">
        <v>56</v>
      </c>
      <c r="J60" s="18">
        <v>5</v>
      </c>
      <c r="K60" s="18" t="s">
        <v>79</v>
      </c>
      <c r="L60" s="18">
        <f>IF(K60="","",COUNTIF($K$2:K60,"&lt;&gt;"))</f>
        <v>30</v>
      </c>
    </row>
    <row r="61" spans="1:12" x14ac:dyDescent="0.3">
      <c r="A61" s="18" t="s">
        <v>191</v>
      </c>
      <c r="B61" s="15" t="s">
        <v>192</v>
      </c>
      <c r="C61" s="18" t="s">
        <v>24</v>
      </c>
      <c r="D61" s="18" t="s">
        <v>37</v>
      </c>
      <c r="E61" s="18" t="s">
        <v>63</v>
      </c>
      <c r="F61" s="18" t="s">
        <v>54</v>
      </c>
      <c r="G61" s="19">
        <v>46194</v>
      </c>
      <c r="H61" s="18" t="s">
        <v>55</v>
      </c>
      <c r="I61" s="18" t="s">
        <v>56</v>
      </c>
      <c r="J61" s="18">
        <v>5</v>
      </c>
      <c r="K61" s="18"/>
      <c r="L61" s="18" t="str">
        <f>IF(K61="","",COUNTIF($K$2:K61,"&lt;&gt;"))</f>
        <v/>
      </c>
    </row>
    <row r="62" spans="1:12" x14ac:dyDescent="0.3">
      <c r="A62" s="18" t="s">
        <v>193</v>
      </c>
      <c r="B62" s="15" t="s">
        <v>194</v>
      </c>
      <c r="C62" s="18" t="s">
        <v>24</v>
      </c>
      <c r="D62" s="18" t="s">
        <v>37</v>
      </c>
      <c r="E62" s="18" t="s">
        <v>53</v>
      </c>
      <c r="F62" s="18" t="s">
        <v>54</v>
      </c>
      <c r="G62" s="19">
        <v>46200</v>
      </c>
      <c r="H62" s="18" t="s">
        <v>55</v>
      </c>
      <c r="I62" s="18" t="s">
        <v>65</v>
      </c>
      <c r="J62" s="18"/>
      <c r="K62" s="18" t="s">
        <v>66</v>
      </c>
      <c r="L62" s="18">
        <f>IF(K62="","",COUNTIF($K$2:K62,"&lt;&gt;"))</f>
        <v>31</v>
      </c>
    </row>
    <row r="63" spans="1:12" x14ac:dyDescent="0.3">
      <c r="A63" s="18" t="s">
        <v>195</v>
      </c>
      <c r="B63" s="15" t="s">
        <v>196</v>
      </c>
      <c r="C63" s="18" t="s">
        <v>24</v>
      </c>
      <c r="D63" s="18" t="s">
        <v>33</v>
      </c>
      <c r="E63" s="18" t="s">
        <v>60</v>
      </c>
      <c r="F63" s="18" t="s">
        <v>97</v>
      </c>
      <c r="G63" s="19">
        <v>46149</v>
      </c>
      <c r="H63" s="18" t="s">
        <v>55</v>
      </c>
      <c r="I63" s="18" t="s">
        <v>56</v>
      </c>
      <c r="J63" s="18">
        <v>4</v>
      </c>
      <c r="K63" s="18"/>
      <c r="L63" s="18" t="str">
        <f>IF(K63="","",COUNTIF($K$2:K63,"&lt;&gt;"))</f>
        <v/>
      </c>
    </row>
    <row r="64" spans="1:12" x14ac:dyDescent="0.3">
      <c r="A64" s="18" t="s">
        <v>197</v>
      </c>
      <c r="B64" s="15" t="s">
        <v>198</v>
      </c>
      <c r="C64" s="18" t="s">
        <v>24</v>
      </c>
      <c r="D64" s="18" t="s">
        <v>37</v>
      </c>
      <c r="E64" s="18" t="s">
        <v>60</v>
      </c>
      <c r="F64" s="18" t="s">
        <v>54</v>
      </c>
      <c r="G64" s="19">
        <v>46197</v>
      </c>
      <c r="H64" s="18" t="s">
        <v>89</v>
      </c>
      <c r="I64" s="18"/>
      <c r="J64" s="18"/>
      <c r="K64" s="18" t="s">
        <v>90</v>
      </c>
      <c r="L64" s="18">
        <f>IF(K64="","",COUNTIF($K$2:K64,"&lt;&gt;"))</f>
        <v>32</v>
      </c>
    </row>
    <row r="65" spans="1:12" x14ac:dyDescent="0.3">
      <c r="A65" s="18" t="s">
        <v>199</v>
      </c>
      <c r="B65" s="15" t="s">
        <v>200</v>
      </c>
      <c r="C65" s="18" t="s">
        <v>93</v>
      </c>
      <c r="D65" s="18" t="s">
        <v>38</v>
      </c>
      <c r="E65" s="18" t="s">
        <v>69</v>
      </c>
      <c r="F65" s="18" t="s">
        <v>88</v>
      </c>
      <c r="G65" s="19">
        <v>46215</v>
      </c>
      <c r="H65" s="18"/>
      <c r="I65" s="18"/>
      <c r="J65" s="18"/>
      <c r="K65" s="18" t="s">
        <v>94</v>
      </c>
      <c r="L65" s="18">
        <f>IF(K65="","",COUNTIF($K$2:K65,"&lt;&gt;"))</f>
        <v>33</v>
      </c>
    </row>
    <row r="66" spans="1:12" x14ac:dyDescent="0.3">
      <c r="A66" s="18" t="s">
        <v>201</v>
      </c>
      <c r="B66" s="15" t="s">
        <v>202</v>
      </c>
      <c r="C66" s="18" t="s">
        <v>24</v>
      </c>
      <c r="D66" s="18" t="s">
        <v>34</v>
      </c>
      <c r="E66" s="18" t="s">
        <v>53</v>
      </c>
      <c r="F66" s="18" t="s">
        <v>72</v>
      </c>
      <c r="G66" s="19">
        <v>46164</v>
      </c>
      <c r="H66" s="18" t="s">
        <v>89</v>
      </c>
      <c r="I66" s="18"/>
      <c r="J66" s="18"/>
      <c r="K66" s="18" t="s">
        <v>90</v>
      </c>
      <c r="L66" s="18">
        <f>IF(K66="","",COUNTIF($K$2:K66,"&lt;&gt;"))</f>
        <v>34</v>
      </c>
    </row>
    <row r="67" spans="1:12" x14ac:dyDescent="0.3">
      <c r="A67" s="18" t="s">
        <v>203</v>
      </c>
      <c r="B67" s="15" t="s">
        <v>204</v>
      </c>
      <c r="C67" s="18" t="s">
        <v>24</v>
      </c>
      <c r="D67" s="18" t="s">
        <v>33</v>
      </c>
      <c r="E67" s="18" t="s">
        <v>53</v>
      </c>
      <c r="F67" s="18" t="s">
        <v>97</v>
      </c>
      <c r="G67" s="19">
        <v>46152</v>
      </c>
      <c r="H67" s="18" t="s">
        <v>55</v>
      </c>
      <c r="I67" s="18" t="s">
        <v>56</v>
      </c>
      <c r="J67" s="18">
        <v>4</v>
      </c>
      <c r="K67" s="18"/>
      <c r="L67" s="18" t="str">
        <f>IF(K67="","",COUNTIF($K$2:K67,"&lt;&gt;"))</f>
        <v/>
      </c>
    </row>
    <row r="68" spans="1:12" x14ac:dyDescent="0.3">
      <c r="A68" s="18" t="s">
        <v>205</v>
      </c>
      <c r="B68" s="15" t="s">
        <v>206</v>
      </c>
      <c r="C68" s="18" t="s">
        <v>24</v>
      </c>
      <c r="D68" s="18" t="s">
        <v>35</v>
      </c>
      <c r="E68" s="18" t="s">
        <v>53</v>
      </c>
      <c r="F68" s="18" t="s">
        <v>64</v>
      </c>
      <c r="G68" s="19">
        <v>46176</v>
      </c>
      <c r="H68" s="18" t="s">
        <v>55</v>
      </c>
      <c r="I68" s="18" t="s">
        <v>65</v>
      </c>
      <c r="J68" s="18"/>
      <c r="K68" s="18" t="s">
        <v>66</v>
      </c>
      <c r="L68" s="18">
        <f>IF(K68="","",COUNTIF($K$2:K68,"&lt;&gt;"))</f>
        <v>35</v>
      </c>
    </row>
    <row r="69" spans="1:12" x14ac:dyDescent="0.3">
      <c r="A69" s="18" t="s">
        <v>207</v>
      </c>
      <c r="B69" s="15" t="s">
        <v>208</v>
      </c>
      <c r="C69" s="18" t="s">
        <v>24</v>
      </c>
      <c r="D69" s="18" t="s">
        <v>38</v>
      </c>
      <c r="E69" s="18" t="s">
        <v>60</v>
      </c>
      <c r="F69" s="18" t="s">
        <v>88</v>
      </c>
      <c r="G69" s="19">
        <v>46209</v>
      </c>
      <c r="H69" s="18" t="s">
        <v>55</v>
      </c>
      <c r="I69" s="18" t="s">
        <v>56</v>
      </c>
      <c r="J69" s="18">
        <v>4</v>
      </c>
      <c r="K69" s="18" t="s">
        <v>79</v>
      </c>
      <c r="L69" s="18">
        <f>IF(K69="","",COUNTIF($K$2:K69,"&lt;&gt;"))</f>
        <v>36</v>
      </c>
    </row>
    <row r="70" spans="1:12" x14ac:dyDescent="0.3">
      <c r="A70" s="18" t="s">
        <v>209</v>
      </c>
      <c r="B70" s="15" t="s">
        <v>210</v>
      </c>
      <c r="C70" s="18" t="s">
        <v>24</v>
      </c>
      <c r="D70" s="18" t="s">
        <v>38</v>
      </c>
      <c r="E70" s="18" t="s">
        <v>69</v>
      </c>
      <c r="F70" s="18" t="s">
        <v>88</v>
      </c>
      <c r="G70" s="19">
        <v>46215</v>
      </c>
      <c r="H70" s="18" t="s">
        <v>55</v>
      </c>
      <c r="I70" s="18" t="s">
        <v>56</v>
      </c>
      <c r="J70" s="18">
        <v>3</v>
      </c>
      <c r="K70" s="18"/>
      <c r="L70" s="18" t="str">
        <f>IF(K70="","",COUNTIF($K$2:K70,"&lt;&gt;"))</f>
        <v/>
      </c>
    </row>
    <row r="71" spans="1:12" x14ac:dyDescent="0.3">
      <c r="A71" s="18" t="s">
        <v>211</v>
      </c>
      <c r="B71" s="15" t="s">
        <v>212</v>
      </c>
      <c r="C71" s="18" t="s">
        <v>93</v>
      </c>
      <c r="D71" s="18" t="s">
        <v>37</v>
      </c>
      <c r="E71" s="18" t="s">
        <v>63</v>
      </c>
      <c r="F71" s="18" t="s">
        <v>54</v>
      </c>
      <c r="G71" s="19">
        <v>46194</v>
      </c>
      <c r="H71" s="18"/>
      <c r="I71" s="18"/>
      <c r="J71" s="18"/>
      <c r="K71" s="18" t="s">
        <v>94</v>
      </c>
      <c r="L71" s="18">
        <f>IF(K71="","",COUNTIF($K$2:K71,"&lt;&gt;"))</f>
        <v>37</v>
      </c>
    </row>
    <row r="72" spans="1:12" x14ac:dyDescent="0.3">
      <c r="A72" s="18" t="s">
        <v>213</v>
      </c>
      <c r="B72" s="15" t="s">
        <v>214</v>
      </c>
      <c r="C72" s="18" t="s">
        <v>24</v>
      </c>
      <c r="D72" s="18" t="s">
        <v>36</v>
      </c>
      <c r="E72" s="18" t="s">
        <v>60</v>
      </c>
      <c r="F72" s="18" t="s">
        <v>112</v>
      </c>
      <c r="G72" s="19">
        <v>46185</v>
      </c>
      <c r="H72" s="18" t="s">
        <v>89</v>
      </c>
      <c r="I72" s="18"/>
      <c r="J72" s="18"/>
      <c r="K72" s="18" t="s">
        <v>90</v>
      </c>
      <c r="L72" s="18">
        <f>IF(K72="","",COUNTIF($K$2:K72,"&lt;&gt;"))</f>
        <v>38</v>
      </c>
    </row>
    <row r="73" spans="1:12" x14ac:dyDescent="0.3">
      <c r="A73" s="18" t="s">
        <v>215</v>
      </c>
      <c r="B73" s="15" t="s">
        <v>216</v>
      </c>
      <c r="C73" s="18" t="s">
        <v>93</v>
      </c>
      <c r="D73" s="18" t="s">
        <v>38</v>
      </c>
      <c r="E73" s="18" t="s">
        <v>53</v>
      </c>
      <c r="F73" s="18" t="s">
        <v>88</v>
      </c>
      <c r="G73" s="19">
        <v>46212</v>
      </c>
      <c r="H73" s="18"/>
      <c r="I73" s="18"/>
      <c r="J73" s="18"/>
      <c r="K73" s="18" t="s">
        <v>94</v>
      </c>
      <c r="L73" s="18">
        <f>IF(K73="","",COUNTIF($K$2:K73,"&lt;&gt;"))</f>
        <v>39</v>
      </c>
    </row>
    <row r="74" spans="1:12" x14ac:dyDescent="0.3">
      <c r="A74" s="18" t="s">
        <v>217</v>
      </c>
      <c r="B74" s="15" t="s">
        <v>218</v>
      </c>
      <c r="C74" s="18" t="s">
        <v>24</v>
      </c>
      <c r="D74" s="18" t="s">
        <v>34</v>
      </c>
      <c r="E74" s="18" t="s">
        <v>63</v>
      </c>
      <c r="F74" s="18" t="s">
        <v>72</v>
      </c>
      <c r="G74" s="19">
        <v>46158</v>
      </c>
      <c r="H74" s="18" t="s">
        <v>55</v>
      </c>
      <c r="I74" s="18" t="s">
        <v>56</v>
      </c>
      <c r="J74" s="18">
        <v>5</v>
      </c>
      <c r="K74" s="18"/>
      <c r="L74" s="18" t="str">
        <f>IF(K74="","",COUNTIF($K$2:K74,"&lt;&gt;"))</f>
        <v/>
      </c>
    </row>
    <row r="75" spans="1:12" x14ac:dyDescent="0.3">
      <c r="A75" s="18" t="s">
        <v>219</v>
      </c>
      <c r="B75" s="15" t="s">
        <v>220</v>
      </c>
      <c r="C75" s="18" t="s">
        <v>24</v>
      </c>
      <c r="D75" s="18" t="s">
        <v>38</v>
      </c>
      <c r="E75" s="18" t="s">
        <v>60</v>
      </c>
      <c r="F75" s="18" t="s">
        <v>88</v>
      </c>
      <c r="G75" s="19">
        <v>46209</v>
      </c>
      <c r="H75" s="18" t="s">
        <v>55</v>
      </c>
      <c r="I75" s="18" t="s">
        <v>56</v>
      </c>
      <c r="J75" s="18">
        <v>4</v>
      </c>
      <c r="K75" s="18" t="s">
        <v>79</v>
      </c>
      <c r="L75" s="18">
        <f>IF(K75="","",COUNTIF($K$2:K75,"&lt;&gt;"))</f>
        <v>40</v>
      </c>
    </row>
    <row r="76" spans="1:12" x14ac:dyDescent="0.3">
      <c r="A76" s="18" t="s">
        <v>221</v>
      </c>
      <c r="B76" s="15" t="s">
        <v>222</v>
      </c>
      <c r="C76" s="18" t="s">
        <v>93</v>
      </c>
      <c r="D76" s="18" t="s">
        <v>38</v>
      </c>
      <c r="E76" s="18" t="s">
        <v>69</v>
      </c>
      <c r="F76" s="18" t="s">
        <v>88</v>
      </c>
      <c r="G76" s="19">
        <v>46215</v>
      </c>
      <c r="H76" s="18"/>
      <c r="I76" s="18"/>
      <c r="J76" s="18"/>
      <c r="K76" s="18" t="s">
        <v>94</v>
      </c>
      <c r="L76" s="18">
        <f>IF(K76="","",COUNTIF($K$2:K76,"&lt;&gt;"))</f>
        <v>41</v>
      </c>
    </row>
    <row r="77" spans="1:12" x14ac:dyDescent="0.3">
      <c r="A77" s="18" t="s">
        <v>223</v>
      </c>
      <c r="B77" s="15" t="s">
        <v>224</v>
      </c>
      <c r="C77" s="18" t="s">
        <v>24</v>
      </c>
      <c r="D77" s="18" t="s">
        <v>37</v>
      </c>
      <c r="E77" s="18" t="s">
        <v>69</v>
      </c>
      <c r="F77" s="18" t="s">
        <v>54</v>
      </c>
      <c r="G77" s="19">
        <v>46203</v>
      </c>
      <c r="H77" s="18" t="s">
        <v>55</v>
      </c>
      <c r="I77" s="18" t="s">
        <v>56</v>
      </c>
      <c r="J77" s="18">
        <v>4</v>
      </c>
      <c r="K77" s="18"/>
      <c r="L77" s="18" t="str">
        <f>IF(K77="","",COUNTIF($K$2:K77,"&lt;&gt;"))</f>
        <v/>
      </c>
    </row>
    <row r="78" spans="1:12" x14ac:dyDescent="0.3">
      <c r="A78" s="18" t="s">
        <v>225</v>
      </c>
      <c r="B78" s="15" t="s">
        <v>226</v>
      </c>
      <c r="C78" s="18" t="s">
        <v>24</v>
      </c>
      <c r="D78" s="18" t="s">
        <v>36</v>
      </c>
      <c r="E78" s="18" t="s">
        <v>63</v>
      </c>
      <c r="F78" s="18" t="s">
        <v>112</v>
      </c>
      <c r="G78" s="19">
        <v>46182</v>
      </c>
      <c r="H78" s="18" t="s">
        <v>55</v>
      </c>
      <c r="I78" s="18" t="s">
        <v>65</v>
      </c>
      <c r="J78" s="18"/>
      <c r="K78" s="18" t="s">
        <v>66</v>
      </c>
      <c r="L78" s="18">
        <f>IF(K78="","",COUNTIF($K$2:K78,"&lt;&gt;"))</f>
        <v>42</v>
      </c>
    </row>
    <row r="79" spans="1:12" x14ac:dyDescent="0.3">
      <c r="A79" s="18" t="s">
        <v>227</v>
      </c>
      <c r="B79" s="15" t="s">
        <v>228</v>
      </c>
      <c r="C79" s="18" t="s">
        <v>24</v>
      </c>
      <c r="D79" s="18" t="s">
        <v>33</v>
      </c>
      <c r="E79" s="18" t="s">
        <v>63</v>
      </c>
      <c r="F79" s="18" t="s">
        <v>97</v>
      </c>
      <c r="G79" s="19">
        <v>46146</v>
      </c>
      <c r="H79" s="18" t="s">
        <v>55</v>
      </c>
      <c r="I79" s="18" t="s">
        <v>56</v>
      </c>
      <c r="J79" s="18">
        <v>5</v>
      </c>
      <c r="K79" s="18"/>
      <c r="L79" s="18" t="str">
        <f>IF(K79="","",COUNTIF($K$2:K79,"&lt;&gt;"))</f>
        <v/>
      </c>
    </row>
    <row r="80" spans="1:12" x14ac:dyDescent="0.3">
      <c r="A80" s="18" t="s">
        <v>229</v>
      </c>
      <c r="B80" s="15" t="s">
        <v>230</v>
      </c>
      <c r="C80" s="18" t="s">
        <v>24</v>
      </c>
      <c r="D80" s="18" t="s">
        <v>34</v>
      </c>
      <c r="E80" s="18" t="s">
        <v>53</v>
      </c>
      <c r="F80" s="18" t="s">
        <v>72</v>
      </c>
      <c r="G80" s="19">
        <v>46164</v>
      </c>
      <c r="H80" s="18" t="s">
        <v>55</v>
      </c>
      <c r="I80" s="18" t="s">
        <v>56</v>
      </c>
      <c r="J80" s="18">
        <v>3</v>
      </c>
      <c r="K80" s="18"/>
      <c r="L80" s="18" t="str">
        <f>IF(K80="","",COUNTIF($K$2:K80,"&lt;&gt;"))</f>
        <v/>
      </c>
    </row>
    <row r="81" spans="1:12" x14ac:dyDescent="0.3">
      <c r="A81" s="18" t="s">
        <v>231</v>
      </c>
      <c r="B81" s="15" t="s">
        <v>232</v>
      </c>
      <c r="C81" s="18" t="s">
        <v>59</v>
      </c>
      <c r="D81" s="18" t="s">
        <v>37</v>
      </c>
      <c r="E81" s="18" t="s">
        <v>53</v>
      </c>
      <c r="F81" s="18" t="s">
        <v>54</v>
      </c>
      <c r="G81" s="19">
        <v>46200</v>
      </c>
      <c r="H81" s="18"/>
      <c r="I81" s="18"/>
      <c r="J81" s="18"/>
      <c r="K81" s="18"/>
      <c r="L81" s="18" t="str">
        <f>IF(K81="","",COUNTIF($K$2:K81,"&lt;&gt;"))</f>
        <v/>
      </c>
    </row>
    <row r="82" spans="1:12" x14ac:dyDescent="0.3">
      <c r="A82" s="18" t="s">
        <v>233</v>
      </c>
      <c r="B82" s="15" t="s">
        <v>234</v>
      </c>
      <c r="C82" s="18" t="s">
        <v>24</v>
      </c>
      <c r="D82" s="18" t="s">
        <v>35</v>
      </c>
      <c r="E82" s="18" t="s">
        <v>53</v>
      </c>
      <c r="F82" s="18" t="s">
        <v>64</v>
      </c>
      <c r="G82" s="19">
        <v>46176</v>
      </c>
      <c r="H82" s="18" t="s">
        <v>55</v>
      </c>
      <c r="I82" s="18" t="s">
        <v>56</v>
      </c>
      <c r="J82" s="18">
        <v>5</v>
      </c>
      <c r="K82" s="18"/>
      <c r="L82" s="18" t="str">
        <f>IF(K82="","",COUNTIF($K$2:K82,"&lt;&gt;"))</f>
        <v/>
      </c>
    </row>
    <row r="83" spans="1:12" x14ac:dyDescent="0.3">
      <c r="A83" s="18" t="s">
        <v>235</v>
      </c>
      <c r="B83" s="15" t="s">
        <v>236</v>
      </c>
      <c r="C83" s="18" t="s">
        <v>24</v>
      </c>
      <c r="D83" s="18" t="s">
        <v>36</v>
      </c>
      <c r="E83" s="18" t="s">
        <v>53</v>
      </c>
      <c r="F83" s="18" t="s">
        <v>112</v>
      </c>
      <c r="G83" s="19">
        <v>46188</v>
      </c>
      <c r="H83" s="18" t="s">
        <v>55</v>
      </c>
      <c r="I83" s="18" t="s">
        <v>75</v>
      </c>
      <c r="J83" s="18"/>
      <c r="K83" s="18" t="s">
        <v>76</v>
      </c>
      <c r="L83" s="18">
        <f>IF(K83="","",COUNTIF($K$2:K83,"&lt;&gt;"))</f>
        <v>43</v>
      </c>
    </row>
    <row r="84" spans="1:12" x14ac:dyDescent="0.3">
      <c r="A84" s="18" t="s">
        <v>237</v>
      </c>
      <c r="B84" s="15" t="s">
        <v>238</v>
      </c>
      <c r="C84" s="18" t="s">
        <v>24</v>
      </c>
      <c r="D84" s="18" t="s">
        <v>37</v>
      </c>
      <c r="E84" s="18" t="s">
        <v>63</v>
      </c>
      <c r="F84" s="18" t="s">
        <v>54</v>
      </c>
      <c r="G84" s="19">
        <v>46194</v>
      </c>
      <c r="H84" s="18" t="s">
        <v>55</v>
      </c>
      <c r="I84" s="18" t="s">
        <v>65</v>
      </c>
      <c r="J84" s="18"/>
      <c r="K84" s="18" t="s">
        <v>66</v>
      </c>
      <c r="L84" s="18">
        <f>IF(K84="","",COUNTIF($K$2:K84,"&lt;&gt;"))</f>
        <v>44</v>
      </c>
    </row>
    <row r="85" spans="1:12" x14ac:dyDescent="0.3">
      <c r="A85" s="18" t="s">
        <v>239</v>
      </c>
      <c r="B85" s="15" t="s">
        <v>240</v>
      </c>
      <c r="C85" s="18" t="s">
        <v>24</v>
      </c>
      <c r="D85" s="18" t="s">
        <v>38</v>
      </c>
      <c r="E85" s="18" t="s">
        <v>69</v>
      </c>
      <c r="F85" s="18" t="s">
        <v>88</v>
      </c>
      <c r="G85" s="19">
        <v>46215</v>
      </c>
      <c r="H85" s="18" t="s">
        <v>89</v>
      </c>
      <c r="I85" s="18"/>
      <c r="J85" s="18"/>
      <c r="K85" s="18" t="s">
        <v>90</v>
      </c>
      <c r="L85" s="18">
        <f>IF(K85="","",COUNTIF($K$2:K85,"&lt;&gt;"))</f>
        <v>45</v>
      </c>
    </row>
    <row r="86" spans="1:12" x14ac:dyDescent="0.3">
      <c r="A86" s="18" t="s">
        <v>241</v>
      </c>
      <c r="B86" s="15" t="s">
        <v>242</v>
      </c>
      <c r="C86" s="18" t="s">
        <v>24</v>
      </c>
      <c r="D86" s="18" t="s">
        <v>33</v>
      </c>
      <c r="E86" s="18" t="s">
        <v>53</v>
      </c>
      <c r="F86" s="18" t="s">
        <v>97</v>
      </c>
      <c r="G86" s="19">
        <v>46152</v>
      </c>
      <c r="H86" s="18" t="s">
        <v>89</v>
      </c>
      <c r="I86" s="18"/>
      <c r="J86" s="18"/>
      <c r="K86" s="18" t="s">
        <v>90</v>
      </c>
      <c r="L86" s="18">
        <f>IF(K86="","",COUNTIF($K$2:K86,"&lt;&gt;"))</f>
        <v>46</v>
      </c>
    </row>
    <row r="87" spans="1:12" x14ac:dyDescent="0.3">
      <c r="A87" s="18" t="s">
        <v>243</v>
      </c>
      <c r="B87" s="15" t="s">
        <v>244</v>
      </c>
      <c r="C87" s="18" t="s">
        <v>24</v>
      </c>
      <c r="D87" s="18" t="s">
        <v>38</v>
      </c>
      <c r="E87" s="18" t="s">
        <v>60</v>
      </c>
      <c r="F87" s="18" t="s">
        <v>88</v>
      </c>
      <c r="G87" s="19">
        <v>46209</v>
      </c>
      <c r="H87" s="18" t="s">
        <v>55</v>
      </c>
      <c r="I87" s="18" t="s">
        <v>56</v>
      </c>
      <c r="J87" s="18">
        <v>5</v>
      </c>
      <c r="K87" s="18" t="s">
        <v>79</v>
      </c>
      <c r="L87" s="18">
        <f>IF(K87="","",COUNTIF($K$2:K87,"&lt;&gt;"))</f>
        <v>47</v>
      </c>
    </row>
    <row r="88" spans="1:12" x14ac:dyDescent="0.3">
      <c r="A88" s="18" t="s">
        <v>245</v>
      </c>
      <c r="B88" s="15" t="s">
        <v>246</v>
      </c>
      <c r="C88" s="18" t="s">
        <v>24</v>
      </c>
      <c r="D88" s="18" t="s">
        <v>35</v>
      </c>
      <c r="E88" s="18" t="s">
        <v>53</v>
      </c>
      <c r="F88" s="18" t="s">
        <v>64</v>
      </c>
      <c r="G88" s="19">
        <v>46176</v>
      </c>
      <c r="H88" s="18" t="s">
        <v>55</v>
      </c>
      <c r="I88" s="18" t="s">
        <v>56</v>
      </c>
      <c r="J88" s="18">
        <v>3</v>
      </c>
      <c r="K88" s="18"/>
      <c r="L88" s="18" t="str">
        <f>IF(K88="","",COUNTIF($K$2:K88,"&lt;&gt;"))</f>
        <v/>
      </c>
    </row>
    <row r="89" spans="1:12" x14ac:dyDescent="0.3">
      <c r="A89" s="18" t="s">
        <v>247</v>
      </c>
      <c r="B89" s="15" t="s">
        <v>248</v>
      </c>
      <c r="C89" s="18" t="s">
        <v>24</v>
      </c>
      <c r="D89" s="18" t="s">
        <v>34</v>
      </c>
      <c r="E89" s="18" t="s">
        <v>69</v>
      </c>
      <c r="F89" s="18" t="s">
        <v>72</v>
      </c>
      <c r="G89" s="19">
        <v>46167</v>
      </c>
      <c r="H89" s="18" t="s">
        <v>89</v>
      </c>
      <c r="I89" s="18"/>
      <c r="J89" s="18"/>
      <c r="K89" s="18" t="s">
        <v>90</v>
      </c>
      <c r="L89" s="18">
        <f>IF(K89="","",COUNTIF($K$2:K89,"&lt;&gt;"))</f>
        <v>48</v>
      </c>
    </row>
    <row r="90" spans="1:12" x14ac:dyDescent="0.3">
      <c r="A90" s="18" t="s">
        <v>249</v>
      </c>
      <c r="B90" s="15" t="s">
        <v>250</v>
      </c>
      <c r="C90" s="18" t="s">
        <v>24</v>
      </c>
      <c r="D90" s="18" t="s">
        <v>34</v>
      </c>
      <c r="E90" s="18" t="s">
        <v>69</v>
      </c>
      <c r="F90" s="18" t="s">
        <v>72</v>
      </c>
      <c r="G90" s="19">
        <v>46167</v>
      </c>
      <c r="H90" s="18" t="s">
        <v>55</v>
      </c>
      <c r="I90" s="18" t="s">
        <v>75</v>
      </c>
      <c r="J90" s="18"/>
      <c r="K90" s="18" t="s">
        <v>76</v>
      </c>
      <c r="L90" s="18">
        <f>IF(K90="","",COUNTIF($K$2:K90,"&lt;&gt;"))</f>
        <v>49</v>
      </c>
    </row>
    <row r="91" spans="1:12" x14ac:dyDescent="0.3">
      <c r="A91" s="18" t="s">
        <v>251</v>
      </c>
      <c r="B91" s="15" t="s">
        <v>252</v>
      </c>
      <c r="C91" s="18" t="s">
        <v>93</v>
      </c>
      <c r="D91" s="18" t="s">
        <v>34</v>
      </c>
      <c r="E91" s="18" t="s">
        <v>63</v>
      </c>
      <c r="F91" s="18" t="s">
        <v>72</v>
      </c>
      <c r="G91" s="19">
        <v>46158</v>
      </c>
      <c r="H91" s="18"/>
      <c r="I91" s="18"/>
      <c r="J91" s="18"/>
      <c r="K91" s="18" t="s">
        <v>94</v>
      </c>
      <c r="L91" s="18">
        <f>IF(K91="","",COUNTIF($K$2:K91,"&lt;&gt;"))</f>
        <v>50</v>
      </c>
    </row>
    <row r="92" spans="1:12" x14ac:dyDescent="0.3">
      <c r="A92" s="18" t="s">
        <v>253</v>
      </c>
      <c r="B92" s="15" t="s">
        <v>254</v>
      </c>
      <c r="C92" s="18" t="s">
        <v>24</v>
      </c>
      <c r="D92" s="18" t="s">
        <v>34</v>
      </c>
      <c r="E92" s="18" t="s">
        <v>69</v>
      </c>
      <c r="F92" s="18" t="s">
        <v>72</v>
      </c>
      <c r="G92" s="19">
        <v>46167</v>
      </c>
      <c r="H92" s="18" t="s">
        <v>55</v>
      </c>
      <c r="I92" s="18" t="s">
        <v>56</v>
      </c>
      <c r="J92" s="18">
        <v>5</v>
      </c>
      <c r="K92" s="18" t="s">
        <v>79</v>
      </c>
      <c r="L92" s="18">
        <f>IF(K92="","",COUNTIF($K$2:K92,"&lt;&gt;"))</f>
        <v>51</v>
      </c>
    </row>
    <row r="93" spans="1:12" x14ac:dyDescent="0.3">
      <c r="A93" s="18" t="s">
        <v>255</v>
      </c>
      <c r="B93" s="15" t="s">
        <v>256</v>
      </c>
      <c r="C93" s="18" t="s">
        <v>24</v>
      </c>
      <c r="D93" s="18" t="s">
        <v>33</v>
      </c>
      <c r="E93" s="18" t="s">
        <v>53</v>
      </c>
      <c r="F93" s="18" t="s">
        <v>97</v>
      </c>
      <c r="G93" s="19">
        <v>46152</v>
      </c>
      <c r="H93" s="18" t="s">
        <v>55</v>
      </c>
      <c r="I93" s="18" t="s">
        <v>56</v>
      </c>
      <c r="J93" s="18">
        <v>5</v>
      </c>
      <c r="K93" s="18"/>
      <c r="L93" s="18" t="str">
        <f>IF(K93="","",COUNTIF($K$2:K93,"&lt;&gt;"))</f>
        <v/>
      </c>
    </row>
    <row r="94" spans="1:12" x14ac:dyDescent="0.3">
      <c r="A94" s="18" t="s">
        <v>257</v>
      </c>
      <c r="B94" s="15" t="s">
        <v>258</v>
      </c>
      <c r="C94" s="18" t="s">
        <v>24</v>
      </c>
      <c r="D94" s="18" t="s">
        <v>38</v>
      </c>
      <c r="E94" s="18" t="s">
        <v>63</v>
      </c>
      <c r="F94" s="18" t="s">
        <v>88</v>
      </c>
      <c r="G94" s="19">
        <v>46206</v>
      </c>
      <c r="H94" s="18" t="s">
        <v>89</v>
      </c>
      <c r="I94" s="18"/>
      <c r="J94" s="18"/>
      <c r="K94" s="18" t="s">
        <v>90</v>
      </c>
      <c r="L94" s="18">
        <f>IF(K94="","",COUNTIF($K$2:K94,"&lt;&gt;"))</f>
        <v>52</v>
      </c>
    </row>
    <row r="95" spans="1:12" x14ac:dyDescent="0.3">
      <c r="A95" s="18" t="s">
        <v>259</v>
      </c>
      <c r="B95" s="15" t="s">
        <v>260</v>
      </c>
      <c r="C95" s="18" t="s">
        <v>24</v>
      </c>
      <c r="D95" s="18" t="s">
        <v>38</v>
      </c>
      <c r="E95" s="18" t="s">
        <v>53</v>
      </c>
      <c r="F95" s="18" t="s">
        <v>88</v>
      </c>
      <c r="G95" s="19">
        <v>46212</v>
      </c>
      <c r="H95" s="18" t="s">
        <v>55</v>
      </c>
      <c r="I95" s="18" t="s">
        <v>65</v>
      </c>
      <c r="J95" s="18"/>
      <c r="K95" s="18" t="s">
        <v>66</v>
      </c>
      <c r="L95" s="18">
        <f>IF(K95="","",COUNTIF($K$2:K95,"&lt;&gt;"))</f>
        <v>53</v>
      </c>
    </row>
    <row r="96" spans="1:12" x14ac:dyDescent="0.3">
      <c r="A96" s="18" t="s">
        <v>261</v>
      </c>
      <c r="B96" s="15" t="s">
        <v>262</v>
      </c>
      <c r="C96" s="18" t="s">
        <v>24</v>
      </c>
      <c r="D96" s="18" t="s">
        <v>36</v>
      </c>
      <c r="E96" s="18" t="s">
        <v>69</v>
      </c>
      <c r="F96" s="18" t="s">
        <v>112</v>
      </c>
      <c r="G96" s="19">
        <v>46191</v>
      </c>
      <c r="H96" s="18" t="s">
        <v>89</v>
      </c>
      <c r="I96" s="18"/>
      <c r="J96" s="18"/>
      <c r="K96" s="18" t="s">
        <v>90</v>
      </c>
      <c r="L96" s="18">
        <f>IF(K96="","",COUNTIF($K$2:K96,"&lt;&gt;"))</f>
        <v>54</v>
      </c>
    </row>
    <row r="97" spans="1:12" x14ac:dyDescent="0.3">
      <c r="A97" s="18" t="s">
        <v>263</v>
      </c>
      <c r="B97" s="15" t="s">
        <v>264</v>
      </c>
      <c r="C97" s="18" t="s">
        <v>24</v>
      </c>
      <c r="D97" s="18" t="s">
        <v>34</v>
      </c>
      <c r="E97" s="18" t="s">
        <v>63</v>
      </c>
      <c r="F97" s="18" t="s">
        <v>72</v>
      </c>
      <c r="G97" s="19">
        <v>46158</v>
      </c>
      <c r="H97" s="18" t="s">
        <v>55</v>
      </c>
      <c r="I97" s="18" t="s">
        <v>56</v>
      </c>
      <c r="J97" s="18">
        <v>3</v>
      </c>
      <c r="K97" s="18"/>
      <c r="L97" s="18" t="str">
        <f>IF(K97="","",COUNTIF($K$2:K97,"&lt;&gt;"))</f>
        <v/>
      </c>
    </row>
    <row r="98" spans="1:12" x14ac:dyDescent="0.3">
      <c r="A98" s="18" t="s">
        <v>265</v>
      </c>
      <c r="B98" s="15" t="s">
        <v>266</v>
      </c>
      <c r="C98" s="18" t="s">
        <v>24</v>
      </c>
      <c r="D98" s="18" t="s">
        <v>33</v>
      </c>
      <c r="E98" s="18" t="s">
        <v>63</v>
      </c>
      <c r="F98" s="18" t="s">
        <v>97</v>
      </c>
      <c r="G98" s="19">
        <v>46146</v>
      </c>
      <c r="H98" s="18" t="s">
        <v>55</v>
      </c>
      <c r="I98" s="18" t="s">
        <v>56</v>
      </c>
      <c r="J98" s="18">
        <v>4</v>
      </c>
      <c r="K98" s="18"/>
      <c r="L98" s="18" t="str">
        <f>IF(K98="","",COUNTIF($K$2:K98,"&lt;&gt;"))</f>
        <v/>
      </c>
    </row>
    <row r="99" spans="1:12" x14ac:dyDescent="0.3">
      <c r="A99" s="18" t="s">
        <v>267</v>
      </c>
      <c r="B99" s="15" t="s">
        <v>268</v>
      </c>
      <c r="C99" s="18" t="s">
        <v>59</v>
      </c>
      <c r="D99" s="18" t="s">
        <v>33</v>
      </c>
      <c r="E99" s="18" t="s">
        <v>69</v>
      </c>
      <c r="F99" s="18" t="s">
        <v>97</v>
      </c>
      <c r="G99" s="19">
        <v>46155</v>
      </c>
      <c r="H99" s="18"/>
      <c r="I99" s="18"/>
      <c r="J99" s="18"/>
      <c r="K99" s="18"/>
      <c r="L99" s="18" t="str">
        <f>IF(K99="","",COUNTIF($K$2:K99,"&lt;&gt;"))</f>
        <v/>
      </c>
    </row>
    <row r="100" spans="1:12" x14ac:dyDescent="0.3">
      <c r="A100" s="18" t="s">
        <v>269</v>
      </c>
      <c r="B100" s="15" t="s">
        <v>270</v>
      </c>
      <c r="C100" s="18" t="s">
        <v>24</v>
      </c>
      <c r="D100" s="18" t="s">
        <v>34</v>
      </c>
      <c r="E100" s="18" t="s">
        <v>69</v>
      </c>
      <c r="F100" s="18" t="s">
        <v>72</v>
      </c>
      <c r="G100" s="19">
        <v>46167</v>
      </c>
      <c r="H100" s="18" t="s">
        <v>55</v>
      </c>
      <c r="I100" s="18" t="s">
        <v>65</v>
      </c>
      <c r="J100" s="18"/>
      <c r="K100" s="18" t="s">
        <v>66</v>
      </c>
      <c r="L100" s="18">
        <f>IF(K100="","",COUNTIF($K$2:K100,"&lt;&gt;"))</f>
        <v>55</v>
      </c>
    </row>
    <row r="101" spans="1:12" x14ac:dyDescent="0.3">
      <c r="A101" s="18" t="s">
        <v>271</v>
      </c>
      <c r="B101" s="15" t="s">
        <v>272</v>
      </c>
      <c r="C101" s="18" t="s">
        <v>24</v>
      </c>
      <c r="D101" s="18" t="s">
        <v>38</v>
      </c>
      <c r="E101" s="18" t="s">
        <v>53</v>
      </c>
      <c r="F101" s="18" t="s">
        <v>88</v>
      </c>
      <c r="G101" s="19">
        <v>46212</v>
      </c>
      <c r="H101" s="18" t="s">
        <v>55</v>
      </c>
      <c r="I101" s="18" t="s">
        <v>56</v>
      </c>
      <c r="J101" s="18">
        <v>4</v>
      </c>
      <c r="K101" s="18"/>
      <c r="L101" s="18" t="str">
        <f>IF(K101="","",COUNTIF($K$2:K101,"&lt;&gt;"))</f>
        <v/>
      </c>
    </row>
    <row r="102" spans="1:12" x14ac:dyDescent="0.3">
      <c r="A102" s="18" t="s">
        <v>273</v>
      </c>
      <c r="B102" s="15" t="s">
        <v>274</v>
      </c>
      <c r="C102" s="18" t="s">
        <v>93</v>
      </c>
      <c r="D102" s="18" t="s">
        <v>33</v>
      </c>
      <c r="E102" s="18" t="s">
        <v>60</v>
      </c>
      <c r="F102" s="18" t="s">
        <v>97</v>
      </c>
      <c r="G102" s="19">
        <v>46149</v>
      </c>
      <c r="H102" s="18"/>
      <c r="I102" s="18"/>
      <c r="J102" s="18"/>
      <c r="K102" s="18" t="s">
        <v>94</v>
      </c>
      <c r="L102" s="18">
        <f>IF(K102="","",COUNTIF($K$2:K102,"&lt;&gt;"))</f>
        <v>56</v>
      </c>
    </row>
    <row r="103" spans="1:12" x14ac:dyDescent="0.3">
      <c r="A103" s="18" t="s">
        <v>275</v>
      </c>
      <c r="B103" s="15" t="s">
        <v>276</v>
      </c>
      <c r="C103" s="18" t="s">
        <v>24</v>
      </c>
      <c r="D103" s="18" t="s">
        <v>33</v>
      </c>
      <c r="E103" s="18" t="s">
        <v>69</v>
      </c>
      <c r="F103" s="18" t="s">
        <v>97</v>
      </c>
      <c r="G103" s="19">
        <v>46155</v>
      </c>
      <c r="H103" s="18" t="s">
        <v>55</v>
      </c>
      <c r="I103" s="18" t="s">
        <v>56</v>
      </c>
      <c r="J103" s="18">
        <v>4</v>
      </c>
      <c r="K103" s="18"/>
      <c r="L103" s="18" t="str">
        <f>IF(K103="","",COUNTIF($K$2:K103,"&lt;&gt;"))</f>
        <v/>
      </c>
    </row>
    <row r="104" spans="1:12" x14ac:dyDescent="0.3">
      <c r="A104" s="18" t="s">
        <v>277</v>
      </c>
      <c r="B104" s="15" t="s">
        <v>278</v>
      </c>
      <c r="C104" s="18" t="s">
        <v>24</v>
      </c>
      <c r="D104" s="18" t="s">
        <v>36</v>
      </c>
      <c r="E104" s="18" t="s">
        <v>53</v>
      </c>
      <c r="F104" s="18" t="s">
        <v>112</v>
      </c>
      <c r="G104" s="19">
        <v>46188</v>
      </c>
      <c r="H104" s="18" t="s">
        <v>55</v>
      </c>
      <c r="I104" s="18" t="s">
        <v>56</v>
      </c>
      <c r="J104" s="18">
        <v>4</v>
      </c>
      <c r="K104" s="18"/>
      <c r="L104" s="18" t="str">
        <f>IF(K104="","",COUNTIF($K$2:K104,"&lt;&gt;"))</f>
        <v/>
      </c>
    </row>
    <row r="105" spans="1:12" x14ac:dyDescent="0.3">
      <c r="A105" s="18" t="s">
        <v>279</v>
      </c>
      <c r="B105" s="15" t="s">
        <v>280</v>
      </c>
      <c r="C105" s="18" t="s">
        <v>93</v>
      </c>
      <c r="D105" s="18" t="s">
        <v>37</v>
      </c>
      <c r="E105" s="18" t="s">
        <v>60</v>
      </c>
      <c r="F105" s="18" t="s">
        <v>54</v>
      </c>
      <c r="G105" s="19">
        <v>46197</v>
      </c>
      <c r="H105" s="18"/>
      <c r="I105" s="18"/>
      <c r="J105" s="18"/>
      <c r="K105" s="18" t="s">
        <v>94</v>
      </c>
      <c r="L105" s="18">
        <f>IF(K105="","",COUNTIF($K$2:K105,"&lt;&gt;"))</f>
        <v>57</v>
      </c>
    </row>
    <row r="106" spans="1:12" x14ac:dyDescent="0.3">
      <c r="A106" s="18" t="s">
        <v>281</v>
      </c>
      <c r="B106" s="15" t="s">
        <v>282</v>
      </c>
      <c r="C106" s="18" t="s">
        <v>24</v>
      </c>
      <c r="D106" s="18" t="s">
        <v>36</v>
      </c>
      <c r="E106" s="18" t="s">
        <v>53</v>
      </c>
      <c r="F106" s="18" t="s">
        <v>112</v>
      </c>
      <c r="G106" s="19">
        <v>46188</v>
      </c>
      <c r="H106" s="18" t="s">
        <v>55</v>
      </c>
      <c r="I106" s="18" t="s">
        <v>65</v>
      </c>
      <c r="J106" s="18"/>
      <c r="K106" s="18" t="s">
        <v>66</v>
      </c>
      <c r="L106" s="18">
        <f>IF(K106="","",COUNTIF($K$2:K106,"&lt;&gt;"))</f>
        <v>58</v>
      </c>
    </row>
    <row r="107" spans="1:12" x14ac:dyDescent="0.3">
      <c r="A107" s="18" t="s">
        <v>283</v>
      </c>
      <c r="B107" s="15" t="s">
        <v>284</v>
      </c>
      <c r="C107" s="18" t="s">
        <v>24</v>
      </c>
      <c r="D107" s="18" t="s">
        <v>38</v>
      </c>
      <c r="E107" s="18" t="s">
        <v>69</v>
      </c>
      <c r="F107" s="18" t="s">
        <v>88</v>
      </c>
      <c r="G107" s="19">
        <v>46215</v>
      </c>
      <c r="H107" s="18" t="s">
        <v>55</v>
      </c>
      <c r="I107" s="18" t="s">
        <v>65</v>
      </c>
      <c r="J107" s="18"/>
      <c r="K107" s="18" t="s">
        <v>66</v>
      </c>
      <c r="L107" s="18">
        <f>IF(K107="","",COUNTIF($K$2:K107,"&lt;&gt;"))</f>
        <v>59</v>
      </c>
    </row>
    <row r="108" spans="1:12" x14ac:dyDescent="0.3">
      <c r="A108" s="18" t="s">
        <v>285</v>
      </c>
      <c r="B108" s="15" t="s">
        <v>286</v>
      </c>
      <c r="C108" s="18" t="s">
        <v>24</v>
      </c>
      <c r="D108" s="18" t="s">
        <v>36</v>
      </c>
      <c r="E108" s="18" t="s">
        <v>60</v>
      </c>
      <c r="F108" s="18" t="s">
        <v>112</v>
      </c>
      <c r="G108" s="19">
        <v>46185</v>
      </c>
      <c r="H108" s="18" t="s">
        <v>55</v>
      </c>
      <c r="I108" s="18" t="s">
        <v>75</v>
      </c>
      <c r="J108" s="18"/>
      <c r="K108" s="18" t="s">
        <v>76</v>
      </c>
      <c r="L108" s="18">
        <f>IF(K108="","",COUNTIF($K$2:K108,"&lt;&gt;"))</f>
        <v>60</v>
      </c>
    </row>
    <row r="109" spans="1:12" x14ac:dyDescent="0.3">
      <c r="A109" s="18" t="s">
        <v>287</v>
      </c>
      <c r="B109" s="15" t="s">
        <v>288</v>
      </c>
      <c r="C109" s="18" t="s">
        <v>24</v>
      </c>
      <c r="D109" s="18" t="s">
        <v>37</v>
      </c>
      <c r="E109" s="18" t="s">
        <v>60</v>
      </c>
      <c r="F109" s="18" t="s">
        <v>54</v>
      </c>
      <c r="G109" s="19">
        <v>46197</v>
      </c>
      <c r="H109" s="18" t="s">
        <v>55</v>
      </c>
      <c r="I109" s="18" t="s">
        <v>75</v>
      </c>
      <c r="J109" s="18"/>
      <c r="K109" s="18" t="s">
        <v>76</v>
      </c>
      <c r="L109" s="18">
        <f>IF(K109="","",COUNTIF($K$2:K109,"&lt;&gt;"))</f>
        <v>61</v>
      </c>
    </row>
    <row r="110" spans="1:12" x14ac:dyDescent="0.3">
      <c r="A110" s="18" t="s">
        <v>289</v>
      </c>
      <c r="B110" s="15" t="s">
        <v>290</v>
      </c>
      <c r="C110" s="18" t="s">
        <v>59</v>
      </c>
      <c r="D110" s="18" t="s">
        <v>34</v>
      </c>
      <c r="E110" s="18" t="s">
        <v>60</v>
      </c>
      <c r="F110" s="18" t="s">
        <v>72</v>
      </c>
      <c r="G110" s="19">
        <v>46161</v>
      </c>
      <c r="H110" s="18"/>
      <c r="I110" s="18"/>
      <c r="J110" s="18"/>
      <c r="K110" s="18"/>
      <c r="L110" s="18" t="str">
        <f>IF(K110="","",COUNTIF($K$2:K110,"&lt;&gt;"))</f>
        <v/>
      </c>
    </row>
    <row r="111" spans="1:12" x14ac:dyDescent="0.3">
      <c r="A111" s="18" t="s">
        <v>291</v>
      </c>
      <c r="B111" s="15" t="s">
        <v>292</v>
      </c>
      <c r="C111" s="18" t="s">
        <v>24</v>
      </c>
      <c r="D111" s="18" t="s">
        <v>36</v>
      </c>
      <c r="E111" s="18" t="s">
        <v>69</v>
      </c>
      <c r="F111" s="18" t="s">
        <v>112</v>
      </c>
      <c r="G111" s="19">
        <v>46191</v>
      </c>
      <c r="H111" s="18" t="s">
        <v>89</v>
      </c>
      <c r="I111" s="18"/>
      <c r="J111" s="18"/>
      <c r="K111" s="18" t="s">
        <v>90</v>
      </c>
      <c r="L111" s="18">
        <f>IF(K111="","",COUNTIF($K$2:K111,"&lt;&gt;"))</f>
        <v>62</v>
      </c>
    </row>
    <row r="112" spans="1:12" x14ac:dyDescent="0.3">
      <c r="A112" s="18" t="s">
        <v>293</v>
      </c>
      <c r="B112" s="15" t="s">
        <v>294</v>
      </c>
      <c r="C112" s="18" t="s">
        <v>93</v>
      </c>
      <c r="D112" s="18" t="s">
        <v>34</v>
      </c>
      <c r="E112" s="18" t="s">
        <v>69</v>
      </c>
      <c r="F112" s="18" t="s">
        <v>72</v>
      </c>
      <c r="G112" s="19">
        <v>46167</v>
      </c>
      <c r="H112" s="18"/>
      <c r="I112" s="18"/>
      <c r="J112" s="18"/>
      <c r="K112" s="18" t="s">
        <v>94</v>
      </c>
      <c r="L112" s="18">
        <f>IF(K112="","",COUNTIF($K$2:K112,"&lt;&gt;"))</f>
        <v>63</v>
      </c>
    </row>
    <row r="113" spans="1:12" x14ac:dyDescent="0.3">
      <c r="A113" s="18" t="s">
        <v>295</v>
      </c>
      <c r="B113" s="15" t="s">
        <v>296</v>
      </c>
      <c r="C113" s="18" t="s">
        <v>24</v>
      </c>
      <c r="D113" s="18" t="s">
        <v>35</v>
      </c>
      <c r="E113" s="18" t="s">
        <v>63</v>
      </c>
      <c r="F113" s="18" t="s">
        <v>64</v>
      </c>
      <c r="G113" s="19">
        <v>46170</v>
      </c>
      <c r="H113" s="18" t="s">
        <v>55</v>
      </c>
      <c r="I113" s="18" t="s">
        <v>75</v>
      </c>
      <c r="J113" s="18"/>
      <c r="K113" s="18" t="s">
        <v>76</v>
      </c>
      <c r="L113" s="18">
        <f>IF(K113="","",COUNTIF($K$2:K113,"&lt;&gt;"))</f>
        <v>64</v>
      </c>
    </row>
    <row r="114" spans="1:12" x14ac:dyDescent="0.3">
      <c r="A114" s="18" t="s">
        <v>297</v>
      </c>
      <c r="B114" s="15" t="s">
        <v>298</v>
      </c>
      <c r="C114" s="18" t="s">
        <v>24</v>
      </c>
      <c r="D114" s="18" t="s">
        <v>37</v>
      </c>
      <c r="E114" s="18" t="s">
        <v>63</v>
      </c>
      <c r="F114" s="18" t="s">
        <v>54</v>
      </c>
      <c r="G114" s="19">
        <v>46194</v>
      </c>
      <c r="H114" s="18" t="s">
        <v>55</v>
      </c>
      <c r="I114" s="18" t="s">
        <v>56</v>
      </c>
      <c r="J114" s="18">
        <v>4</v>
      </c>
      <c r="K114" s="18"/>
      <c r="L114" s="18" t="str">
        <f>IF(K114="","",COUNTIF($K$2:K114,"&lt;&gt;"))</f>
        <v/>
      </c>
    </row>
    <row r="115" spans="1:12" x14ac:dyDescent="0.3">
      <c r="A115" s="18" t="s">
        <v>299</v>
      </c>
      <c r="B115" s="15" t="s">
        <v>300</v>
      </c>
      <c r="C115" s="18" t="s">
        <v>24</v>
      </c>
      <c r="D115" s="18" t="s">
        <v>34</v>
      </c>
      <c r="E115" s="18" t="s">
        <v>69</v>
      </c>
      <c r="F115" s="18" t="s">
        <v>72</v>
      </c>
      <c r="G115" s="19">
        <v>46167</v>
      </c>
      <c r="H115" s="18" t="s">
        <v>55</v>
      </c>
      <c r="I115" s="18" t="s">
        <v>56</v>
      </c>
      <c r="J115" s="18">
        <v>5</v>
      </c>
      <c r="K115" s="18"/>
      <c r="L115" s="18" t="str">
        <f>IF(K115="","",COUNTIF($K$2:K115,"&lt;&gt;"))</f>
        <v/>
      </c>
    </row>
    <row r="116" spans="1:12" x14ac:dyDescent="0.3">
      <c r="A116" s="18" t="s">
        <v>301</v>
      </c>
      <c r="B116" s="15" t="s">
        <v>302</v>
      </c>
      <c r="C116" s="18" t="s">
        <v>93</v>
      </c>
      <c r="D116" s="18" t="s">
        <v>33</v>
      </c>
      <c r="E116" s="18" t="s">
        <v>53</v>
      </c>
      <c r="F116" s="18" t="s">
        <v>97</v>
      </c>
      <c r="G116" s="19">
        <v>46152</v>
      </c>
      <c r="H116" s="18"/>
      <c r="I116" s="18"/>
      <c r="J116" s="18"/>
      <c r="K116" s="18" t="s">
        <v>94</v>
      </c>
      <c r="L116" s="18">
        <f>IF(K116="","",COUNTIF($K$2:K116,"&lt;&gt;"))</f>
        <v>65</v>
      </c>
    </row>
    <row r="117" spans="1:12" x14ac:dyDescent="0.3">
      <c r="A117" s="18" t="s">
        <v>303</v>
      </c>
      <c r="B117" s="15" t="s">
        <v>304</v>
      </c>
      <c r="C117" s="18" t="s">
        <v>24</v>
      </c>
      <c r="D117" s="18" t="s">
        <v>35</v>
      </c>
      <c r="E117" s="18" t="s">
        <v>53</v>
      </c>
      <c r="F117" s="18" t="s">
        <v>64</v>
      </c>
      <c r="G117" s="19">
        <v>46176</v>
      </c>
      <c r="H117" s="18" t="s">
        <v>89</v>
      </c>
      <c r="I117" s="18"/>
      <c r="J117" s="18"/>
      <c r="K117" s="18" t="s">
        <v>90</v>
      </c>
      <c r="L117" s="18">
        <f>IF(K117="","",COUNTIF($K$2:K117,"&lt;&gt;"))</f>
        <v>66</v>
      </c>
    </row>
    <row r="118" spans="1:12" x14ac:dyDescent="0.3">
      <c r="A118" s="18" t="s">
        <v>305</v>
      </c>
      <c r="B118" s="15" t="s">
        <v>306</v>
      </c>
      <c r="C118" s="18" t="s">
        <v>24</v>
      </c>
      <c r="D118" s="18" t="s">
        <v>37</v>
      </c>
      <c r="E118" s="18" t="s">
        <v>60</v>
      </c>
      <c r="F118" s="18" t="s">
        <v>54</v>
      </c>
      <c r="G118" s="19">
        <v>46197</v>
      </c>
      <c r="H118" s="18" t="s">
        <v>89</v>
      </c>
      <c r="I118" s="18"/>
      <c r="J118" s="18"/>
      <c r="K118" s="18" t="s">
        <v>90</v>
      </c>
      <c r="L118" s="18">
        <f>IF(K118="","",COUNTIF($K$2:K118,"&lt;&gt;"))</f>
        <v>67</v>
      </c>
    </row>
    <row r="119" spans="1:12" x14ac:dyDescent="0.3">
      <c r="A119" s="18" t="s">
        <v>307</v>
      </c>
      <c r="B119" s="15" t="s">
        <v>308</v>
      </c>
      <c r="C119" s="18" t="s">
        <v>24</v>
      </c>
      <c r="D119" s="18" t="s">
        <v>34</v>
      </c>
      <c r="E119" s="18" t="s">
        <v>63</v>
      </c>
      <c r="F119" s="18" t="s">
        <v>72</v>
      </c>
      <c r="G119" s="19">
        <v>46158</v>
      </c>
      <c r="H119" s="18" t="s">
        <v>55</v>
      </c>
      <c r="I119" s="18" t="s">
        <v>75</v>
      </c>
      <c r="J119" s="18"/>
      <c r="K119" s="18" t="s">
        <v>76</v>
      </c>
      <c r="L119" s="18">
        <f>IF(K119="","",COUNTIF($K$2:K119,"&lt;&gt;"))</f>
        <v>68</v>
      </c>
    </row>
    <row r="120" spans="1:12" x14ac:dyDescent="0.3">
      <c r="A120" s="18" t="s">
        <v>309</v>
      </c>
      <c r="B120" s="15" t="s">
        <v>310</v>
      </c>
      <c r="C120" s="18" t="s">
        <v>24</v>
      </c>
      <c r="D120" s="18" t="s">
        <v>38</v>
      </c>
      <c r="E120" s="18" t="s">
        <v>53</v>
      </c>
      <c r="F120" s="18" t="s">
        <v>88</v>
      </c>
      <c r="G120" s="19">
        <v>46212</v>
      </c>
      <c r="H120" s="18" t="s">
        <v>55</v>
      </c>
      <c r="I120" s="18" t="s">
        <v>75</v>
      </c>
      <c r="J120" s="18"/>
      <c r="K120" s="18" t="s">
        <v>76</v>
      </c>
      <c r="L120" s="18">
        <f>IF(K120="","",COUNTIF($K$2:K120,"&lt;&gt;"))</f>
        <v>69</v>
      </c>
    </row>
    <row r="121" spans="1:12" x14ac:dyDescent="0.3">
      <c r="A121" s="18" t="s">
        <v>311</v>
      </c>
      <c r="B121" s="15" t="s">
        <v>312</v>
      </c>
      <c r="C121" s="18" t="s">
        <v>24</v>
      </c>
      <c r="D121" s="18" t="s">
        <v>34</v>
      </c>
      <c r="E121" s="18" t="s">
        <v>53</v>
      </c>
      <c r="F121" s="18" t="s">
        <v>72</v>
      </c>
      <c r="G121" s="19">
        <v>46164</v>
      </c>
      <c r="H121" s="18" t="s">
        <v>55</v>
      </c>
      <c r="I121" s="18" t="s">
        <v>56</v>
      </c>
      <c r="J121" s="18">
        <v>3</v>
      </c>
      <c r="K121" s="18"/>
      <c r="L121" s="18" t="str">
        <f>IF(K121="","",COUNTIF($K$2:K121,"&lt;&gt;"))</f>
        <v/>
      </c>
    </row>
    <row r="122" spans="1:12" x14ac:dyDescent="0.3">
      <c r="A122" s="18" t="s">
        <v>313</v>
      </c>
      <c r="B122" s="15" t="s">
        <v>314</v>
      </c>
      <c r="C122" s="18" t="s">
        <v>24</v>
      </c>
      <c r="D122" s="18" t="s">
        <v>36</v>
      </c>
      <c r="E122" s="18" t="s">
        <v>60</v>
      </c>
      <c r="F122" s="18" t="s">
        <v>112</v>
      </c>
      <c r="G122" s="19">
        <v>46185</v>
      </c>
      <c r="H122" s="18" t="s">
        <v>55</v>
      </c>
      <c r="I122" s="18" t="s">
        <v>56</v>
      </c>
      <c r="J122" s="18">
        <v>5</v>
      </c>
      <c r="K122" s="18" t="s">
        <v>79</v>
      </c>
      <c r="L122" s="18">
        <f>IF(K122="","",COUNTIF($K$2:K122,"&lt;&gt;"))</f>
        <v>70</v>
      </c>
    </row>
    <row r="123" spans="1:12" x14ac:dyDescent="0.3">
      <c r="A123" s="18" t="s">
        <v>315</v>
      </c>
      <c r="B123" s="15" t="s">
        <v>316</v>
      </c>
      <c r="C123" s="18" t="s">
        <v>24</v>
      </c>
      <c r="D123" s="18" t="s">
        <v>36</v>
      </c>
      <c r="E123" s="18" t="s">
        <v>53</v>
      </c>
      <c r="F123" s="18" t="s">
        <v>112</v>
      </c>
      <c r="G123" s="19">
        <v>46188</v>
      </c>
      <c r="H123" s="18" t="s">
        <v>55</v>
      </c>
      <c r="I123" s="18" t="s">
        <v>56</v>
      </c>
      <c r="J123" s="18">
        <v>5</v>
      </c>
      <c r="K123" s="18"/>
      <c r="L123" s="18" t="str">
        <f>IF(K123="","",COUNTIF($K$2:K123,"&lt;&gt;"))</f>
        <v/>
      </c>
    </row>
    <row r="124" spans="1:12" x14ac:dyDescent="0.3">
      <c r="A124" s="18" t="s">
        <v>317</v>
      </c>
      <c r="B124" s="15" t="s">
        <v>318</v>
      </c>
      <c r="C124" s="18" t="s">
        <v>24</v>
      </c>
      <c r="D124" s="18" t="s">
        <v>34</v>
      </c>
      <c r="E124" s="18" t="s">
        <v>53</v>
      </c>
      <c r="F124" s="18" t="s">
        <v>72</v>
      </c>
      <c r="G124" s="19">
        <v>46164</v>
      </c>
      <c r="H124" s="18" t="s">
        <v>55</v>
      </c>
      <c r="I124" s="18" t="s">
        <v>56</v>
      </c>
      <c r="J124" s="18">
        <v>3</v>
      </c>
      <c r="K124" s="18"/>
      <c r="L124" s="18" t="str">
        <f>IF(K124="","",COUNTIF($K$2:K124,"&lt;&gt;"))</f>
        <v/>
      </c>
    </row>
    <row r="125" spans="1:12" x14ac:dyDescent="0.3">
      <c r="A125" s="18" t="s">
        <v>319</v>
      </c>
      <c r="B125" s="15" t="s">
        <v>320</v>
      </c>
      <c r="C125" s="18" t="s">
        <v>24</v>
      </c>
      <c r="D125" s="18" t="s">
        <v>36</v>
      </c>
      <c r="E125" s="18" t="s">
        <v>63</v>
      </c>
      <c r="F125" s="18" t="s">
        <v>112</v>
      </c>
      <c r="G125" s="19">
        <v>46182</v>
      </c>
      <c r="H125" s="18" t="s">
        <v>55</v>
      </c>
      <c r="I125" s="18" t="s">
        <v>56</v>
      </c>
      <c r="J125" s="18">
        <v>5</v>
      </c>
      <c r="K125" s="18"/>
      <c r="L125" s="18" t="str">
        <f>IF(K125="","",COUNTIF($K$2:K125,"&lt;&gt;"))</f>
        <v/>
      </c>
    </row>
    <row r="126" spans="1:12" x14ac:dyDescent="0.3">
      <c r="A126" s="18" t="s">
        <v>321</v>
      </c>
      <c r="B126" s="15" t="s">
        <v>322</v>
      </c>
      <c r="C126" s="18" t="s">
        <v>93</v>
      </c>
      <c r="D126" s="18" t="s">
        <v>33</v>
      </c>
      <c r="E126" s="18" t="s">
        <v>63</v>
      </c>
      <c r="F126" s="18" t="s">
        <v>97</v>
      </c>
      <c r="G126" s="19">
        <v>46146</v>
      </c>
      <c r="H126" s="18"/>
      <c r="I126" s="18"/>
      <c r="J126" s="18"/>
      <c r="K126" s="18" t="s">
        <v>94</v>
      </c>
      <c r="L126" s="18">
        <f>IF(K126="","",COUNTIF($K$2:K126,"&lt;&gt;"))</f>
        <v>71</v>
      </c>
    </row>
    <row r="127" spans="1:12" x14ac:dyDescent="0.3">
      <c r="A127" s="18" t="s">
        <v>323</v>
      </c>
      <c r="B127" s="15" t="s">
        <v>324</v>
      </c>
      <c r="C127" s="18" t="s">
        <v>24</v>
      </c>
      <c r="D127" s="18" t="s">
        <v>37</v>
      </c>
      <c r="E127" s="18" t="s">
        <v>53</v>
      </c>
      <c r="F127" s="18" t="s">
        <v>54</v>
      </c>
      <c r="G127" s="19">
        <v>46200</v>
      </c>
      <c r="H127" s="18" t="s">
        <v>55</v>
      </c>
      <c r="I127" s="18" t="s">
        <v>75</v>
      </c>
      <c r="J127" s="18"/>
      <c r="K127" s="18" t="s">
        <v>76</v>
      </c>
      <c r="L127" s="18">
        <f>IF(K127="","",COUNTIF($K$2:K127,"&lt;&gt;"))</f>
        <v>72</v>
      </c>
    </row>
    <row r="128" spans="1:12" x14ac:dyDescent="0.3">
      <c r="A128" s="18" t="s">
        <v>325</v>
      </c>
      <c r="B128" s="15" t="s">
        <v>326</v>
      </c>
      <c r="C128" s="18" t="s">
        <v>24</v>
      </c>
      <c r="D128" s="18" t="s">
        <v>33</v>
      </c>
      <c r="E128" s="18" t="s">
        <v>63</v>
      </c>
      <c r="F128" s="18" t="s">
        <v>97</v>
      </c>
      <c r="G128" s="19">
        <v>46146</v>
      </c>
      <c r="H128" s="18" t="s">
        <v>55</v>
      </c>
      <c r="I128" s="18" t="s">
        <v>56</v>
      </c>
      <c r="J128" s="18">
        <v>4</v>
      </c>
      <c r="K128" s="18"/>
      <c r="L128" s="18" t="str">
        <f>IF(K128="","",COUNTIF($K$2:K128,"&lt;&gt;"))</f>
        <v/>
      </c>
    </row>
    <row r="129" spans="1:12" x14ac:dyDescent="0.3">
      <c r="A129" s="18" t="s">
        <v>327</v>
      </c>
      <c r="B129" s="15" t="s">
        <v>328</v>
      </c>
      <c r="C129" s="18" t="s">
        <v>24</v>
      </c>
      <c r="D129" s="18" t="s">
        <v>36</v>
      </c>
      <c r="E129" s="18" t="s">
        <v>60</v>
      </c>
      <c r="F129" s="18" t="s">
        <v>112</v>
      </c>
      <c r="G129" s="19">
        <v>46185</v>
      </c>
      <c r="H129" s="18" t="s">
        <v>55</v>
      </c>
      <c r="I129" s="18" t="s">
        <v>56</v>
      </c>
      <c r="J129" s="18">
        <v>3</v>
      </c>
      <c r="K129" s="18"/>
      <c r="L129" s="18" t="str">
        <f>IF(K129="","",COUNTIF($K$2:K129,"&lt;&gt;"))</f>
        <v/>
      </c>
    </row>
    <row r="130" spans="1:12" x14ac:dyDescent="0.3">
      <c r="A130" s="18" t="s">
        <v>329</v>
      </c>
      <c r="B130" s="15" t="s">
        <v>330</v>
      </c>
      <c r="C130" s="18" t="s">
        <v>24</v>
      </c>
      <c r="D130" s="18" t="s">
        <v>38</v>
      </c>
      <c r="E130" s="18" t="s">
        <v>69</v>
      </c>
      <c r="F130" s="18" t="s">
        <v>88</v>
      </c>
      <c r="G130" s="19">
        <v>46215</v>
      </c>
      <c r="H130" s="18" t="s">
        <v>55</v>
      </c>
      <c r="I130" s="18" t="s">
        <v>56</v>
      </c>
      <c r="J130" s="18">
        <v>3</v>
      </c>
      <c r="K130" s="18"/>
      <c r="L130" s="18" t="str">
        <f>IF(K130="","",COUNTIF($K$2:K130,"&lt;&gt;"))</f>
        <v/>
      </c>
    </row>
    <row r="131" spans="1:12" x14ac:dyDescent="0.3">
      <c r="A131" s="18" t="s">
        <v>331</v>
      </c>
      <c r="B131" s="15" t="s">
        <v>332</v>
      </c>
      <c r="C131" s="18" t="s">
        <v>24</v>
      </c>
      <c r="D131" s="18" t="s">
        <v>37</v>
      </c>
      <c r="E131" s="18" t="s">
        <v>69</v>
      </c>
      <c r="F131" s="18" t="s">
        <v>54</v>
      </c>
      <c r="G131" s="19">
        <v>46203</v>
      </c>
      <c r="H131" s="18" t="s">
        <v>55</v>
      </c>
      <c r="I131" s="18" t="s">
        <v>56</v>
      </c>
      <c r="J131" s="18">
        <v>5</v>
      </c>
      <c r="K131" s="18"/>
      <c r="L131" s="18" t="str">
        <f>IF(K131="","",COUNTIF($K$2:K131,"&lt;&gt;"))</f>
        <v/>
      </c>
    </row>
    <row r="132" spans="1:12" x14ac:dyDescent="0.3">
      <c r="A132" s="18" t="s">
        <v>333</v>
      </c>
      <c r="B132" s="15" t="s">
        <v>334</v>
      </c>
      <c r="C132" s="18" t="s">
        <v>24</v>
      </c>
      <c r="D132" s="18" t="s">
        <v>36</v>
      </c>
      <c r="E132" s="18" t="s">
        <v>69</v>
      </c>
      <c r="F132" s="18" t="s">
        <v>112</v>
      </c>
      <c r="G132" s="19">
        <v>46191</v>
      </c>
      <c r="H132" s="18" t="s">
        <v>55</v>
      </c>
      <c r="I132" s="18" t="s">
        <v>56</v>
      </c>
      <c r="J132" s="18">
        <v>4</v>
      </c>
      <c r="K132" s="18" t="s">
        <v>79</v>
      </c>
      <c r="L132" s="18">
        <f>IF(K132="","",COUNTIF($K$2:K132,"&lt;&gt;"))</f>
        <v>73</v>
      </c>
    </row>
    <row r="133" spans="1:12" x14ac:dyDescent="0.3">
      <c r="A133" s="18" t="s">
        <v>335</v>
      </c>
      <c r="B133" s="15" t="s">
        <v>336</v>
      </c>
      <c r="C133" s="18" t="s">
        <v>24</v>
      </c>
      <c r="D133" s="18" t="s">
        <v>36</v>
      </c>
      <c r="E133" s="18" t="s">
        <v>60</v>
      </c>
      <c r="F133" s="18" t="s">
        <v>112</v>
      </c>
      <c r="G133" s="19">
        <v>46185</v>
      </c>
      <c r="H133" s="18" t="s">
        <v>55</v>
      </c>
      <c r="I133" s="18" t="s">
        <v>56</v>
      </c>
      <c r="J133" s="18">
        <v>4</v>
      </c>
      <c r="K133" s="18"/>
      <c r="L133" s="18" t="str">
        <f>IF(K133="","",COUNTIF($K$2:K133,"&lt;&gt;"))</f>
        <v/>
      </c>
    </row>
    <row r="134" spans="1:12" x14ac:dyDescent="0.3">
      <c r="A134" s="18" t="s">
        <v>337</v>
      </c>
      <c r="B134" s="15" t="s">
        <v>338</v>
      </c>
      <c r="C134" s="18" t="s">
        <v>24</v>
      </c>
      <c r="D134" s="18" t="s">
        <v>36</v>
      </c>
      <c r="E134" s="18" t="s">
        <v>63</v>
      </c>
      <c r="F134" s="18" t="s">
        <v>112</v>
      </c>
      <c r="G134" s="19">
        <v>46182</v>
      </c>
      <c r="H134" s="18" t="s">
        <v>55</v>
      </c>
      <c r="I134" s="18" t="s">
        <v>56</v>
      </c>
      <c r="J134" s="18">
        <v>4</v>
      </c>
      <c r="K134" s="18"/>
      <c r="L134" s="18" t="str">
        <f>IF(K134="","",COUNTIF($K$2:K134,"&lt;&gt;"))</f>
        <v/>
      </c>
    </row>
    <row r="135" spans="1:12" x14ac:dyDescent="0.3">
      <c r="A135" s="18" t="s">
        <v>339</v>
      </c>
      <c r="B135" s="15" t="s">
        <v>340</v>
      </c>
      <c r="C135" s="18" t="s">
        <v>24</v>
      </c>
      <c r="D135" s="18" t="s">
        <v>38</v>
      </c>
      <c r="E135" s="18" t="s">
        <v>60</v>
      </c>
      <c r="F135" s="18" t="s">
        <v>88</v>
      </c>
      <c r="G135" s="19">
        <v>46209</v>
      </c>
      <c r="H135" s="18" t="s">
        <v>55</v>
      </c>
      <c r="I135" s="18" t="s">
        <v>65</v>
      </c>
      <c r="J135" s="18"/>
      <c r="K135" s="18" t="s">
        <v>66</v>
      </c>
      <c r="L135" s="18">
        <f>IF(K135="","",COUNTIF($K$2:K135,"&lt;&gt;"))</f>
        <v>74</v>
      </c>
    </row>
    <row r="136" spans="1:12" x14ac:dyDescent="0.3">
      <c r="A136" s="18" t="s">
        <v>341</v>
      </c>
      <c r="B136" s="15" t="s">
        <v>342</v>
      </c>
      <c r="C136" s="18" t="s">
        <v>59</v>
      </c>
      <c r="D136" s="18" t="s">
        <v>38</v>
      </c>
      <c r="E136" s="18" t="s">
        <v>69</v>
      </c>
      <c r="F136" s="18" t="s">
        <v>88</v>
      </c>
      <c r="G136" s="19">
        <v>46215</v>
      </c>
      <c r="H136" s="18"/>
      <c r="I136" s="18"/>
      <c r="J136" s="18"/>
      <c r="K136" s="18"/>
      <c r="L136" s="18" t="str">
        <f>IF(K136="","",COUNTIF($K$2:K136,"&lt;&gt;"))</f>
        <v/>
      </c>
    </row>
    <row r="137" spans="1:12" x14ac:dyDescent="0.3">
      <c r="A137" s="18" t="s">
        <v>343</v>
      </c>
      <c r="B137" s="15" t="s">
        <v>344</v>
      </c>
      <c r="C137" s="18" t="s">
        <v>24</v>
      </c>
      <c r="D137" s="18" t="s">
        <v>36</v>
      </c>
      <c r="E137" s="18" t="s">
        <v>53</v>
      </c>
      <c r="F137" s="18" t="s">
        <v>112</v>
      </c>
      <c r="G137" s="19">
        <v>46188</v>
      </c>
      <c r="H137" s="18" t="s">
        <v>89</v>
      </c>
      <c r="I137" s="18"/>
      <c r="J137" s="18"/>
      <c r="K137" s="18" t="s">
        <v>90</v>
      </c>
      <c r="L137" s="18">
        <f>IF(K137="","",COUNTIF($K$2:K137,"&lt;&gt;"))</f>
        <v>75</v>
      </c>
    </row>
    <row r="138" spans="1:12" x14ac:dyDescent="0.3">
      <c r="A138" s="18" t="s">
        <v>345</v>
      </c>
      <c r="B138" s="15" t="s">
        <v>346</v>
      </c>
      <c r="C138" s="18" t="s">
        <v>24</v>
      </c>
      <c r="D138" s="18" t="s">
        <v>37</v>
      </c>
      <c r="E138" s="18" t="s">
        <v>69</v>
      </c>
      <c r="F138" s="18" t="s">
        <v>54</v>
      </c>
      <c r="G138" s="19">
        <v>46203</v>
      </c>
      <c r="H138" s="18" t="s">
        <v>55</v>
      </c>
      <c r="I138" s="18" t="s">
        <v>56</v>
      </c>
      <c r="J138" s="18">
        <v>5</v>
      </c>
      <c r="K138" s="18"/>
      <c r="L138" s="18" t="str">
        <f>IF(K138="","",COUNTIF($K$2:K138,"&lt;&gt;"))</f>
        <v/>
      </c>
    </row>
    <row r="139" spans="1:12" x14ac:dyDescent="0.3">
      <c r="A139" s="18" t="s">
        <v>347</v>
      </c>
      <c r="B139" s="15" t="s">
        <v>348</v>
      </c>
      <c r="C139" s="18" t="s">
        <v>93</v>
      </c>
      <c r="D139" s="18" t="s">
        <v>36</v>
      </c>
      <c r="E139" s="18" t="s">
        <v>63</v>
      </c>
      <c r="F139" s="18" t="s">
        <v>112</v>
      </c>
      <c r="G139" s="19">
        <v>46182</v>
      </c>
      <c r="H139" s="18"/>
      <c r="I139" s="18"/>
      <c r="J139" s="18"/>
      <c r="K139" s="18" t="s">
        <v>94</v>
      </c>
      <c r="L139" s="18">
        <f>IF(K139="","",COUNTIF($K$2:K139,"&lt;&gt;"))</f>
        <v>76</v>
      </c>
    </row>
    <row r="140" spans="1:12" x14ac:dyDescent="0.3">
      <c r="A140" s="18" t="s">
        <v>349</v>
      </c>
      <c r="B140" s="15" t="s">
        <v>350</v>
      </c>
      <c r="C140" s="18" t="s">
        <v>24</v>
      </c>
      <c r="D140" s="18" t="s">
        <v>38</v>
      </c>
      <c r="E140" s="18" t="s">
        <v>60</v>
      </c>
      <c r="F140" s="18" t="s">
        <v>88</v>
      </c>
      <c r="G140" s="19">
        <v>46209</v>
      </c>
      <c r="H140" s="18" t="s">
        <v>89</v>
      </c>
      <c r="I140" s="18"/>
      <c r="J140" s="18"/>
      <c r="K140" s="18" t="s">
        <v>90</v>
      </c>
      <c r="L140" s="18">
        <f>IF(K140="","",COUNTIF($K$2:K140,"&lt;&gt;"))</f>
        <v>77</v>
      </c>
    </row>
    <row r="141" spans="1:12" x14ac:dyDescent="0.3">
      <c r="A141" s="18" t="s">
        <v>351</v>
      </c>
      <c r="B141" s="15" t="s">
        <v>352</v>
      </c>
      <c r="C141" s="18" t="s">
        <v>24</v>
      </c>
      <c r="D141" s="18" t="s">
        <v>38</v>
      </c>
      <c r="E141" s="18" t="s">
        <v>63</v>
      </c>
      <c r="F141" s="18" t="s">
        <v>88</v>
      </c>
      <c r="G141" s="19">
        <v>46206</v>
      </c>
      <c r="H141" s="18" t="s">
        <v>55</v>
      </c>
      <c r="I141" s="18" t="s">
        <v>56</v>
      </c>
      <c r="J141" s="18">
        <v>5</v>
      </c>
      <c r="K141" s="18"/>
      <c r="L141" s="18" t="str">
        <f>IF(K141="","",COUNTIF($K$2:K141,"&lt;&gt;"))</f>
        <v/>
      </c>
    </row>
    <row r="142" spans="1:12" x14ac:dyDescent="0.3">
      <c r="A142" s="18" t="s">
        <v>353</v>
      </c>
      <c r="B142" s="15" t="s">
        <v>354</v>
      </c>
      <c r="C142" s="18" t="s">
        <v>24</v>
      </c>
      <c r="D142" s="18" t="s">
        <v>34</v>
      </c>
      <c r="E142" s="18" t="s">
        <v>60</v>
      </c>
      <c r="F142" s="18" t="s">
        <v>72</v>
      </c>
      <c r="G142" s="19">
        <v>46161</v>
      </c>
      <c r="H142" s="18" t="s">
        <v>55</v>
      </c>
      <c r="I142" s="18" t="s">
        <v>56</v>
      </c>
      <c r="J142" s="18">
        <v>4</v>
      </c>
      <c r="K142" s="18"/>
      <c r="L142" s="18" t="str">
        <f>IF(K142="","",COUNTIF($K$2:K142,"&lt;&gt;"))</f>
        <v/>
      </c>
    </row>
    <row r="143" spans="1:12" x14ac:dyDescent="0.3">
      <c r="A143" s="18" t="s">
        <v>355</v>
      </c>
      <c r="B143" s="15" t="s">
        <v>356</v>
      </c>
      <c r="C143" s="18" t="s">
        <v>24</v>
      </c>
      <c r="D143" s="18" t="s">
        <v>36</v>
      </c>
      <c r="E143" s="18" t="s">
        <v>63</v>
      </c>
      <c r="F143" s="18" t="s">
        <v>112</v>
      </c>
      <c r="G143" s="19">
        <v>46182</v>
      </c>
      <c r="H143" s="18" t="s">
        <v>89</v>
      </c>
      <c r="I143" s="18"/>
      <c r="J143" s="18"/>
      <c r="K143" s="18" t="s">
        <v>90</v>
      </c>
      <c r="L143" s="18">
        <f>IF(K143="","",COUNTIF($K$2:K143,"&lt;&gt;"))</f>
        <v>78</v>
      </c>
    </row>
    <row r="144" spans="1:12" x14ac:dyDescent="0.3">
      <c r="A144" s="18" t="s">
        <v>357</v>
      </c>
      <c r="B144" s="15" t="s">
        <v>358</v>
      </c>
      <c r="C144" s="18" t="s">
        <v>24</v>
      </c>
      <c r="D144" s="18" t="s">
        <v>36</v>
      </c>
      <c r="E144" s="18" t="s">
        <v>53</v>
      </c>
      <c r="F144" s="18" t="s">
        <v>112</v>
      </c>
      <c r="G144" s="19">
        <v>46188</v>
      </c>
      <c r="H144" s="18" t="s">
        <v>55</v>
      </c>
      <c r="I144" s="18" t="s">
        <v>56</v>
      </c>
      <c r="J144" s="18">
        <v>3</v>
      </c>
      <c r="K144" s="18"/>
      <c r="L144" s="18" t="str">
        <f>IF(K144="","",COUNTIF($K$2:K144,"&lt;&gt;"))</f>
        <v/>
      </c>
    </row>
    <row r="145" spans="1:12" x14ac:dyDescent="0.3">
      <c r="A145" s="18" t="s">
        <v>359</v>
      </c>
      <c r="B145" s="15" t="s">
        <v>360</v>
      </c>
      <c r="C145" s="18" t="s">
        <v>24</v>
      </c>
      <c r="D145" s="18" t="s">
        <v>36</v>
      </c>
      <c r="E145" s="18" t="s">
        <v>63</v>
      </c>
      <c r="F145" s="18" t="s">
        <v>112</v>
      </c>
      <c r="G145" s="19">
        <v>46182</v>
      </c>
      <c r="H145" s="18" t="s">
        <v>55</v>
      </c>
      <c r="I145" s="18" t="s">
        <v>56</v>
      </c>
      <c r="J145" s="18">
        <v>4</v>
      </c>
      <c r="K145" s="18"/>
      <c r="L145" s="18" t="str">
        <f>IF(K145="","",COUNTIF($K$2:K145,"&lt;&gt;"))</f>
        <v/>
      </c>
    </row>
    <row r="146" spans="1:12" x14ac:dyDescent="0.3">
      <c r="A146" s="18" t="s">
        <v>361</v>
      </c>
      <c r="B146" s="15" t="s">
        <v>362</v>
      </c>
      <c r="C146" s="18" t="s">
        <v>24</v>
      </c>
      <c r="D146" s="18" t="s">
        <v>36</v>
      </c>
      <c r="E146" s="18" t="s">
        <v>60</v>
      </c>
      <c r="F146" s="18" t="s">
        <v>112</v>
      </c>
      <c r="G146" s="19">
        <v>46185</v>
      </c>
      <c r="H146" s="18" t="s">
        <v>55</v>
      </c>
      <c r="I146" s="18" t="s">
        <v>56</v>
      </c>
      <c r="J146" s="18">
        <v>5</v>
      </c>
      <c r="K146" s="18"/>
      <c r="L146" s="18" t="str">
        <f>IF(K146="","",COUNTIF($K$2:K146,"&lt;&gt;"))</f>
        <v/>
      </c>
    </row>
    <row r="147" spans="1:12" x14ac:dyDescent="0.3">
      <c r="A147" s="18" t="s">
        <v>363</v>
      </c>
      <c r="B147" s="15" t="s">
        <v>364</v>
      </c>
      <c r="C147" s="18" t="s">
        <v>24</v>
      </c>
      <c r="D147" s="18" t="s">
        <v>33</v>
      </c>
      <c r="E147" s="18" t="s">
        <v>53</v>
      </c>
      <c r="F147" s="18" t="s">
        <v>97</v>
      </c>
      <c r="G147" s="19">
        <v>46152</v>
      </c>
      <c r="H147" s="18" t="s">
        <v>55</v>
      </c>
      <c r="I147" s="18" t="s">
        <v>56</v>
      </c>
      <c r="J147" s="18">
        <v>5</v>
      </c>
      <c r="K147" s="18"/>
      <c r="L147" s="18" t="str">
        <f>IF(K147="","",COUNTIF($K$2:K147,"&lt;&gt;"))</f>
        <v/>
      </c>
    </row>
    <row r="148" spans="1:12" x14ac:dyDescent="0.3">
      <c r="A148" s="18" t="s">
        <v>365</v>
      </c>
      <c r="B148" s="15" t="s">
        <v>366</v>
      </c>
      <c r="C148" s="18" t="s">
        <v>24</v>
      </c>
      <c r="D148" s="18" t="s">
        <v>38</v>
      </c>
      <c r="E148" s="18" t="s">
        <v>69</v>
      </c>
      <c r="F148" s="18" t="s">
        <v>88</v>
      </c>
      <c r="G148" s="19">
        <v>46215</v>
      </c>
      <c r="H148" s="18" t="s">
        <v>89</v>
      </c>
      <c r="I148" s="18"/>
      <c r="J148" s="18"/>
      <c r="K148" s="18" t="s">
        <v>90</v>
      </c>
      <c r="L148" s="18">
        <f>IF(K148="","",COUNTIF($K$2:K148,"&lt;&gt;"))</f>
        <v>79</v>
      </c>
    </row>
    <row r="149" spans="1:12" x14ac:dyDescent="0.3">
      <c r="A149" s="18" t="s">
        <v>367</v>
      </c>
      <c r="B149" s="15" t="s">
        <v>368</v>
      </c>
      <c r="C149" s="18" t="s">
        <v>24</v>
      </c>
      <c r="D149" s="18" t="s">
        <v>38</v>
      </c>
      <c r="E149" s="18" t="s">
        <v>63</v>
      </c>
      <c r="F149" s="18" t="s">
        <v>88</v>
      </c>
      <c r="G149" s="19">
        <v>46206</v>
      </c>
      <c r="H149" s="18" t="s">
        <v>55</v>
      </c>
      <c r="I149" s="18" t="s">
        <v>56</v>
      </c>
      <c r="J149" s="18">
        <v>4</v>
      </c>
      <c r="K149" s="18"/>
      <c r="L149" s="18" t="str">
        <f>IF(K149="","",COUNTIF($K$2:K149,"&lt;&gt;"))</f>
        <v/>
      </c>
    </row>
    <row r="150" spans="1:12" x14ac:dyDescent="0.3">
      <c r="A150" s="18" t="s">
        <v>369</v>
      </c>
      <c r="B150" s="15" t="s">
        <v>370</v>
      </c>
      <c r="C150" s="18" t="s">
        <v>24</v>
      </c>
      <c r="D150" s="18" t="s">
        <v>38</v>
      </c>
      <c r="E150" s="18" t="s">
        <v>63</v>
      </c>
      <c r="F150" s="18" t="s">
        <v>88</v>
      </c>
      <c r="G150" s="19">
        <v>46206</v>
      </c>
      <c r="H150" s="18" t="s">
        <v>55</v>
      </c>
      <c r="I150" s="18" t="s">
        <v>56</v>
      </c>
      <c r="J150" s="18">
        <v>5</v>
      </c>
      <c r="K150" s="18"/>
      <c r="L150" s="18" t="str">
        <f>IF(K150="","",COUNTIF($K$2:K150,"&lt;&gt;"))</f>
        <v/>
      </c>
    </row>
    <row r="151" spans="1:12" x14ac:dyDescent="0.3">
      <c r="A151" s="18" t="s">
        <v>371</v>
      </c>
      <c r="B151" s="15" t="s">
        <v>372</v>
      </c>
      <c r="C151" s="18" t="s">
        <v>24</v>
      </c>
      <c r="D151" s="18" t="s">
        <v>33</v>
      </c>
      <c r="E151" s="18" t="s">
        <v>63</v>
      </c>
      <c r="F151" s="18" t="s">
        <v>97</v>
      </c>
      <c r="G151" s="19">
        <v>46146</v>
      </c>
      <c r="H151" s="18" t="s">
        <v>55</v>
      </c>
      <c r="I151" s="18" t="s">
        <v>56</v>
      </c>
      <c r="J151" s="18">
        <v>5</v>
      </c>
      <c r="K151" s="18"/>
      <c r="L151" s="18" t="str">
        <f>IF(K151="","",COUNTIF($K$2:K151,"&lt;&gt;"))</f>
        <v/>
      </c>
    </row>
    <row r="152" spans="1:12" x14ac:dyDescent="0.3">
      <c r="A152" s="18" t="s">
        <v>373</v>
      </c>
      <c r="B152" s="15" t="s">
        <v>374</v>
      </c>
      <c r="C152" s="18" t="s">
        <v>24</v>
      </c>
      <c r="D152" s="18" t="s">
        <v>33</v>
      </c>
      <c r="E152" s="18" t="s">
        <v>63</v>
      </c>
      <c r="F152" s="18" t="s">
        <v>97</v>
      </c>
      <c r="G152" s="19">
        <v>46146</v>
      </c>
      <c r="H152" s="18" t="s">
        <v>89</v>
      </c>
      <c r="I152" s="18"/>
      <c r="J152" s="18"/>
      <c r="K152" s="18" t="s">
        <v>90</v>
      </c>
      <c r="L152" s="18">
        <f>IF(K152="","",COUNTIF($K$2:K152,"&lt;&gt;"))</f>
        <v>80</v>
      </c>
    </row>
    <row r="153" spans="1:12" x14ac:dyDescent="0.3">
      <c r="A153" s="18" t="s">
        <v>375</v>
      </c>
      <c r="B153" s="15" t="s">
        <v>376</v>
      </c>
      <c r="C153" s="18" t="s">
        <v>24</v>
      </c>
      <c r="D153" s="18" t="s">
        <v>34</v>
      </c>
      <c r="E153" s="18" t="s">
        <v>69</v>
      </c>
      <c r="F153" s="18" t="s">
        <v>72</v>
      </c>
      <c r="G153" s="19">
        <v>46167</v>
      </c>
      <c r="H153" s="18" t="s">
        <v>55</v>
      </c>
      <c r="I153" s="18" t="s">
        <v>75</v>
      </c>
      <c r="J153" s="18"/>
      <c r="K153" s="18" t="s">
        <v>76</v>
      </c>
      <c r="L153" s="18">
        <f>IF(K153="","",COUNTIF($K$2:K153,"&lt;&gt;"))</f>
        <v>81</v>
      </c>
    </row>
    <row r="154" spans="1:12" x14ac:dyDescent="0.3">
      <c r="A154" s="18" t="s">
        <v>377</v>
      </c>
      <c r="B154" s="15" t="s">
        <v>378</v>
      </c>
      <c r="C154" s="18" t="s">
        <v>24</v>
      </c>
      <c r="D154" s="18" t="s">
        <v>38</v>
      </c>
      <c r="E154" s="18" t="s">
        <v>60</v>
      </c>
      <c r="F154" s="18" t="s">
        <v>88</v>
      </c>
      <c r="G154" s="19">
        <v>46209</v>
      </c>
      <c r="H154" s="18" t="s">
        <v>55</v>
      </c>
      <c r="I154" s="18" t="s">
        <v>56</v>
      </c>
      <c r="J154" s="18">
        <v>5</v>
      </c>
      <c r="K154" s="18"/>
      <c r="L154" s="18" t="str">
        <f>IF(K154="","",COUNTIF($K$2:K154,"&lt;&gt;"))</f>
        <v/>
      </c>
    </row>
    <row r="155" spans="1:12" x14ac:dyDescent="0.3">
      <c r="A155" s="18" t="s">
        <v>379</v>
      </c>
      <c r="B155" s="15" t="s">
        <v>380</v>
      </c>
      <c r="C155" s="18" t="s">
        <v>24</v>
      </c>
      <c r="D155" s="18" t="s">
        <v>34</v>
      </c>
      <c r="E155" s="18" t="s">
        <v>53</v>
      </c>
      <c r="F155" s="18" t="s">
        <v>72</v>
      </c>
      <c r="G155" s="19">
        <v>46164</v>
      </c>
      <c r="H155" s="18" t="s">
        <v>55</v>
      </c>
      <c r="I155" s="18" t="s">
        <v>56</v>
      </c>
      <c r="J155" s="18">
        <v>5</v>
      </c>
      <c r="K155" s="18"/>
      <c r="L155" s="18" t="str">
        <f>IF(K155="","",COUNTIF($K$2:K155,"&lt;&gt;"))</f>
        <v/>
      </c>
    </row>
    <row r="156" spans="1:12" x14ac:dyDescent="0.3">
      <c r="A156" s="18" t="s">
        <v>381</v>
      </c>
      <c r="B156" s="15" t="s">
        <v>382</v>
      </c>
      <c r="C156" s="18" t="s">
        <v>24</v>
      </c>
      <c r="D156" s="18" t="s">
        <v>35</v>
      </c>
      <c r="E156" s="18" t="s">
        <v>63</v>
      </c>
      <c r="F156" s="18" t="s">
        <v>64</v>
      </c>
      <c r="G156" s="19">
        <v>46170</v>
      </c>
      <c r="H156" s="18" t="s">
        <v>55</v>
      </c>
      <c r="I156" s="18" t="s">
        <v>56</v>
      </c>
      <c r="J156" s="18">
        <v>4</v>
      </c>
      <c r="K156" s="18"/>
      <c r="L156" s="18" t="str">
        <f>IF(K156="","",COUNTIF($K$2:K156,"&lt;&gt;"))</f>
        <v/>
      </c>
    </row>
    <row r="157" spans="1:12" x14ac:dyDescent="0.3">
      <c r="A157" s="18" t="s">
        <v>383</v>
      </c>
      <c r="B157" s="15" t="s">
        <v>384</v>
      </c>
      <c r="C157" s="18" t="s">
        <v>24</v>
      </c>
      <c r="D157" s="18" t="s">
        <v>34</v>
      </c>
      <c r="E157" s="18" t="s">
        <v>60</v>
      </c>
      <c r="F157" s="18" t="s">
        <v>72</v>
      </c>
      <c r="G157" s="19">
        <v>46161</v>
      </c>
      <c r="H157" s="18" t="s">
        <v>55</v>
      </c>
      <c r="I157" s="18" t="s">
        <v>56</v>
      </c>
      <c r="J157" s="18">
        <v>4</v>
      </c>
      <c r="K157" s="18"/>
      <c r="L157" s="18" t="str">
        <f>IF(K157="","",COUNTIF($K$2:K157,"&lt;&gt;"))</f>
        <v/>
      </c>
    </row>
    <row r="158" spans="1:12" x14ac:dyDescent="0.3">
      <c r="A158" s="18" t="s">
        <v>385</v>
      </c>
      <c r="B158" s="15" t="s">
        <v>386</v>
      </c>
      <c r="C158" s="18" t="s">
        <v>24</v>
      </c>
      <c r="D158" s="18" t="s">
        <v>38</v>
      </c>
      <c r="E158" s="18" t="s">
        <v>69</v>
      </c>
      <c r="F158" s="18" t="s">
        <v>88</v>
      </c>
      <c r="G158" s="19">
        <v>46215</v>
      </c>
      <c r="H158" s="18" t="s">
        <v>55</v>
      </c>
      <c r="I158" s="18" t="s">
        <v>56</v>
      </c>
      <c r="J158" s="18">
        <v>4</v>
      </c>
      <c r="K158" s="18"/>
      <c r="L158" s="18" t="str">
        <f>IF(K158="","",COUNTIF($K$2:K158,"&lt;&gt;"))</f>
        <v/>
      </c>
    </row>
    <row r="159" spans="1:12" x14ac:dyDescent="0.3">
      <c r="A159" s="18" t="s">
        <v>387</v>
      </c>
      <c r="B159" s="15" t="s">
        <v>388</v>
      </c>
      <c r="C159" s="18" t="s">
        <v>24</v>
      </c>
      <c r="D159" s="18" t="s">
        <v>34</v>
      </c>
      <c r="E159" s="18" t="s">
        <v>60</v>
      </c>
      <c r="F159" s="18" t="s">
        <v>72</v>
      </c>
      <c r="G159" s="19">
        <v>46161</v>
      </c>
      <c r="H159" s="18" t="s">
        <v>55</v>
      </c>
      <c r="I159" s="18" t="s">
        <v>56</v>
      </c>
      <c r="J159" s="18">
        <v>3</v>
      </c>
      <c r="K159" s="18"/>
      <c r="L159" s="18" t="str">
        <f>IF(K159="","",COUNTIF($K$2:K159,"&lt;&gt;"))</f>
        <v/>
      </c>
    </row>
    <row r="160" spans="1:12" x14ac:dyDescent="0.3">
      <c r="A160" s="18" t="s">
        <v>389</v>
      </c>
      <c r="B160" s="15" t="s">
        <v>390</v>
      </c>
      <c r="C160" s="18" t="s">
        <v>93</v>
      </c>
      <c r="D160" s="18" t="s">
        <v>37</v>
      </c>
      <c r="E160" s="18" t="s">
        <v>53</v>
      </c>
      <c r="F160" s="18" t="s">
        <v>54</v>
      </c>
      <c r="G160" s="19">
        <v>46200</v>
      </c>
      <c r="H160" s="18"/>
      <c r="I160" s="18"/>
      <c r="J160" s="18"/>
      <c r="K160" s="18" t="s">
        <v>94</v>
      </c>
      <c r="L160" s="18">
        <f>IF(K160="","",COUNTIF($K$2:K160,"&lt;&gt;"))</f>
        <v>82</v>
      </c>
    </row>
    <row r="161" spans="1:12" x14ac:dyDescent="0.3">
      <c r="A161" s="18" t="s">
        <v>391</v>
      </c>
      <c r="B161" s="15" t="s">
        <v>392</v>
      </c>
      <c r="C161" s="18" t="s">
        <v>59</v>
      </c>
      <c r="D161" s="18" t="s">
        <v>35</v>
      </c>
      <c r="E161" s="18" t="s">
        <v>60</v>
      </c>
      <c r="F161" s="18" t="s">
        <v>64</v>
      </c>
      <c r="G161" s="19">
        <v>46173</v>
      </c>
      <c r="H161" s="18"/>
      <c r="I161" s="18"/>
      <c r="J161" s="18"/>
      <c r="K161" s="18"/>
      <c r="L161" s="18" t="str">
        <f>IF(K161="","",COUNTIF($K$2:K161,"&lt;&gt;"))</f>
        <v/>
      </c>
    </row>
    <row r="162" spans="1:12" x14ac:dyDescent="0.3">
      <c r="A162" s="18" t="s">
        <v>393</v>
      </c>
      <c r="B162" s="15" t="s">
        <v>394</v>
      </c>
      <c r="C162" s="18" t="s">
        <v>24</v>
      </c>
      <c r="D162" s="18" t="s">
        <v>36</v>
      </c>
      <c r="E162" s="18" t="s">
        <v>63</v>
      </c>
      <c r="F162" s="18" t="s">
        <v>112</v>
      </c>
      <c r="G162" s="19">
        <v>46182</v>
      </c>
      <c r="H162" s="18" t="s">
        <v>55</v>
      </c>
      <c r="I162" s="18" t="s">
        <v>56</v>
      </c>
      <c r="J162" s="18">
        <v>5</v>
      </c>
      <c r="K162" s="18"/>
      <c r="L162" s="18" t="str">
        <f>IF(K162="","",COUNTIF($K$2:K162,"&lt;&gt;"))</f>
        <v/>
      </c>
    </row>
    <row r="163" spans="1:12" x14ac:dyDescent="0.3">
      <c r="A163" s="18" t="s">
        <v>395</v>
      </c>
      <c r="B163" s="15" t="s">
        <v>396</v>
      </c>
      <c r="C163" s="18" t="s">
        <v>93</v>
      </c>
      <c r="D163" s="18" t="s">
        <v>34</v>
      </c>
      <c r="E163" s="18" t="s">
        <v>53</v>
      </c>
      <c r="F163" s="18" t="s">
        <v>72</v>
      </c>
      <c r="G163" s="19">
        <v>46164</v>
      </c>
      <c r="H163" s="18"/>
      <c r="I163" s="18"/>
      <c r="J163" s="18"/>
      <c r="K163" s="18" t="s">
        <v>94</v>
      </c>
      <c r="L163" s="18">
        <f>IF(K163="","",COUNTIF($K$2:K163,"&lt;&gt;"))</f>
        <v>83</v>
      </c>
    </row>
    <row r="164" spans="1:12" x14ac:dyDescent="0.3">
      <c r="A164" s="18" t="s">
        <v>397</v>
      </c>
      <c r="B164" s="15" t="s">
        <v>398</v>
      </c>
      <c r="C164" s="18" t="s">
        <v>24</v>
      </c>
      <c r="D164" s="18" t="s">
        <v>38</v>
      </c>
      <c r="E164" s="18" t="s">
        <v>53</v>
      </c>
      <c r="F164" s="18" t="s">
        <v>88</v>
      </c>
      <c r="G164" s="19">
        <v>46212</v>
      </c>
      <c r="H164" s="18" t="s">
        <v>55</v>
      </c>
      <c r="I164" s="18" t="s">
        <v>56</v>
      </c>
      <c r="J164" s="18">
        <v>3</v>
      </c>
      <c r="K164" s="18"/>
      <c r="L164" s="18" t="str">
        <f>IF(K164="","",COUNTIF($K$2:K164,"&lt;&gt;"))</f>
        <v/>
      </c>
    </row>
    <row r="165" spans="1:12" x14ac:dyDescent="0.3">
      <c r="A165" s="18" t="s">
        <v>399</v>
      </c>
      <c r="B165" s="15" t="s">
        <v>400</v>
      </c>
      <c r="C165" s="18" t="s">
        <v>93</v>
      </c>
      <c r="D165" s="18" t="s">
        <v>38</v>
      </c>
      <c r="E165" s="18" t="s">
        <v>53</v>
      </c>
      <c r="F165" s="18" t="s">
        <v>88</v>
      </c>
      <c r="G165" s="19">
        <v>46212</v>
      </c>
      <c r="H165" s="18"/>
      <c r="I165" s="18"/>
      <c r="J165" s="18"/>
      <c r="K165" s="18" t="s">
        <v>94</v>
      </c>
      <c r="L165" s="18">
        <f>IF(K165="","",COUNTIF($K$2:K165,"&lt;&gt;"))</f>
        <v>84</v>
      </c>
    </row>
    <row r="166" spans="1:12" x14ac:dyDescent="0.3">
      <c r="A166" s="18" t="s">
        <v>401</v>
      </c>
      <c r="B166" s="15" t="s">
        <v>402</v>
      </c>
      <c r="C166" s="18" t="s">
        <v>24</v>
      </c>
      <c r="D166" s="18" t="s">
        <v>38</v>
      </c>
      <c r="E166" s="18" t="s">
        <v>60</v>
      </c>
      <c r="F166" s="18" t="s">
        <v>88</v>
      </c>
      <c r="G166" s="19">
        <v>46209</v>
      </c>
      <c r="H166" s="18" t="s">
        <v>55</v>
      </c>
      <c r="I166" s="18" t="s">
        <v>56</v>
      </c>
      <c r="J166" s="18">
        <v>4</v>
      </c>
      <c r="K166" s="18" t="s">
        <v>79</v>
      </c>
      <c r="L166" s="18">
        <f>IF(K166="","",COUNTIF($K$2:K166,"&lt;&gt;"))</f>
        <v>85</v>
      </c>
    </row>
    <row r="167" spans="1:12" x14ac:dyDescent="0.3">
      <c r="A167" s="18" t="s">
        <v>403</v>
      </c>
      <c r="B167" s="15" t="s">
        <v>404</v>
      </c>
      <c r="C167" s="18" t="s">
        <v>59</v>
      </c>
      <c r="D167" s="18" t="s">
        <v>33</v>
      </c>
      <c r="E167" s="18" t="s">
        <v>69</v>
      </c>
      <c r="F167" s="18" t="s">
        <v>97</v>
      </c>
      <c r="G167" s="19">
        <v>46155</v>
      </c>
      <c r="H167" s="18"/>
      <c r="I167" s="18"/>
      <c r="J167" s="18"/>
      <c r="K167" s="18"/>
      <c r="L167" s="18" t="str">
        <f>IF(K167="","",COUNTIF($K$2:K167,"&lt;&gt;"))</f>
        <v/>
      </c>
    </row>
    <row r="168" spans="1:12" x14ac:dyDescent="0.3">
      <c r="A168" s="18" t="s">
        <v>405</v>
      </c>
      <c r="B168" s="15" t="s">
        <v>406</v>
      </c>
      <c r="C168" s="18" t="s">
        <v>24</v>
      </c>
      <c r="D168" s="18" t="s">
        <v>33</v>
      </c>
      <c r="E168" s="18" t="s">
        <v>60</v>
      </c>
      <c r="F168" s="18" t="s">
        <v>97</v>
      </c>
      <c r="G168" s="19">
        <v>46149</v>
      </c>
      <c r="H168" s="18" t="s">
        <v>55</v>
      </c>
      <c r="I168" s="18" t="s">
        <v>56</v>
      </c>
      <c r="J168" s="18">
        <v>3</v>
      </c>
      <c r="K168" s="18"/>
      <c r="L168" s="18" t="str">
        <f>IF(K168="","",COUNTIF($K$2:K168,"&lt;&gt;"))</f>
        <v/>
      </c>
    </row>
    <row r="169" spans="1:12" x14ac:dyDescent="0.3">
      <c r="A169" s="18" t="s">
        <v>407</v>
      </c>
      <c r="B169" s="15" t="s">
        <v>408</v>
      </c>
      <c r="C169" s="18" t="s">
        <v>24</v>
      </c>
      <c r="D169" s="18" t="s">
        <v>36</v>
      </c>
      <c r="E169" s="18" t="s">
        <v>60</v>
      </c>
      <c r="F169" s="18" t="s">
        <v>112</v>
      </c>
      <c r="G169" s="19">
        <v>46185</v>
      </c>
      <c r="H169" s="18" t="s">
        <v>55</v>
      </c>
      <c r="I169" s="18" t="s">
        <v>56</v>
      </c>
      <c r="J169" s="18">
        <v>4</v>
      </c>
      <c r="K169" s="18"/>
      <c r="L169" s="18" t="str">
        <f>IF(K169="","",COUNTIF($K$2:K169,"&lt;&gt;"))</f>
        <v/>
      </c>
    </row>
    <row r="170" spans="1:12" x14ac:dyDescent="0.3">
      <c r="A170" s="18" t="s">
        <v>409</v>
      </c>
      <c r="B170" s="15" t="s">
        <v>410</v>
      </c>
      <c r="C170" s="18" t="s">
        <v>24</v>
      </c>
      <c r="D170" s="18" t="s">
        <v>33</v>
      </c>
      <c r="E170" s="18" t="s">
        <v>53</v>
      </c>
      <c r="F170" s="18" t="s">
        <v>97</v>
      </c>
      <c r="G170" s="19">
        <v>46152</v>
      </c>
      <c r="H170" s="18" t="s">
        <v>55</v>
      </c>
      <c r="I170" s="18" t="s">
        <v>56</v>
      </c>
      <c r="J170" s="18">
        <v>5</v>
      </c>
      <c r="K170" s="18" t="s">
        <v>79</v>
      </c>
      <c r="L170" s="18">
        <f>IF(K170="","",COUNTIF($K$2:K170,"&lt;&gt;"))</f>
        <v>86</v>
      </c>
    </row>
    <row r="171" spans="1:12" x14ac:dyDescent="0.3">
      <c r="A171" s="18" t="s">
        <v>411</v>
      </c>
      <c r="B171" s="15" t="s">
        <v>412</v>
      </c>
      <c r="C171" s="18" t="s">
        <v>24</v>
      </c>
      <c r="D171" s="18" t="s">
        <v>35</v>
      </c>
      <c r="E171" s="18" t="s">
        <v>53</v>
      </c>
      <c r="F171" s="18" t="s">
        <v>64</v>
      </c>
      <c r="G171" s="19">
        <v>46176</v>
      </c>
      <c r="H171" s="18" t="s">
        <v>89</v>
      </c>
      <c r="I171" s="18"/>
      <c r="J171" s="18"/>
      <c r="K171" s="18" t="s">
        <v>90</v>
      </c>
      <c r="L171" s="18">
        <f>IF(K171="","",COUNTIF($K$2:K171,"&lt;&gt;"))</f>
        <v>87</v>
      </c>
    </row>
    <row r="172" spans="1:12" x14ac:dyDescent="0.3">
      <c r="A172" s="18" t="s">
        <v>413</v>
      </c>
      <c r="B172" s="15" t="s">
        <v>414</v>
      </c>
      <c r="C172" s="18" t="s">
        <v>24</v>
      </c>
      <c r="D172" s="18" t="s">
        <v>36</v>
      </c>
      <c r="E172" s="18" t="s">
        <v>60</v>
      </c>
      <c r="F172" s="18" t="s">
        <v>112</v>
      </c>
      <c r="G172" s="19">
        <v>46185</v>
      </c>
      <c r="H172" s="18" t="s">
        <v>55</v>
      </c>
      <c r="I172" s="18" t="s">
        <v>65</v>
      </c>
      <c r="J172" s="18"/>
      <c r="K172" s="18" t="s">
        <v>66</v>
      </c>
      <c r="L172" s="18">
        <f>IF(K172="","",COUNTIF($K$2:K172,"&lt;&gt;"))</f>
        <v>88</v>
      </c>
    </row>
    <row r="173" spans="1:12" x14ac:dyDescent="0.3">
      <c r="A173" s="18" t="s">
        <v>415</v>
      </c>
      <c r="B173" s="15" t="s">
        <v>416</v>
      </c>
      <c r="C173" s="18" t="s">
        <v>24</v>
      </c>
      <c r="D173" s="18" t="s">
        <v>33</v>
      </c>
      <c r="E173" s="18" t="s">
        <v>69</v>
      </c>
      <c r="F173" s="18" t="s">
        <v>97</v>
      </c>
      <c r="G173" s="19">
        <v>46155</v>
      </c>
      <c r="H173" s="18" t="s">
        <v>55</v>
      </c>
      <c r="I173" s="18" t="s">
        <v>56</v>
      </c>
      <c r="J173" s="18">
        <v>4</v>
      </c>
      <c r="K173" s="18"/>
      <c r="L173" s="18" t="str">
        <f>IF(K173="","",COUNTIF($K$2:K173,"&lt;&gt;"))</f>
        <v/>
      </c>
    </row>
    <row r="174" spans="1:12" x14ac:dyDescent="0.3">
      <c r="A174" s="18" t="s">
        <v>417</v>
      </c>
      <c r="B174" s="15" t="s">
        <v>418</v>
      </c>
      <c r="C174" s="18" t="s">
        <v>24</v>
      </c>
      <c r="D174" s="18" t="s">
        <v>38</v>
      </c>
      <c r="E174" s="18" t="s">
        <v>63</v>
      </c>
      <c r="F174" s="18" t="s">
        <v>88</v>
      </c>
      <c r="G174" s="19">
        <v>46206</v>
      </c>
      <c r="H174" s="18" t="s">
        <v>55</v>
      </c>
      <c r="I174" s="18" t="s">
        <v>65</v>
      </c>
      <c r="J174" s="18"/>
      <c r="K174" s="18" t="s">
        <v>66</v>
      </c>
      <c r="L174" s="18">
        <f>IF(K174="","",COUNTIF($K$2:K174,"&lt;&gt;"))</f>
        <v>89</v>
      </c>
    </row>
    <row r="175" spans="1:12" x14ac:dyDescent="0.3">
      <c r="A175" s="18" t="s">
        <v>419</v>
      </c>
      <c r="B175" s="15" t="s">
        <v>420</v>
      </c>
      <c r="C175" s="18" t="s">
        <v>59</v>
      </c>
      <c r="D175" s="18" t="s">
        <v>36</v>
      </c>
      <c r="E175" s="18" t="s">
        <v>53</v>
      </c>
      <c r="F175" s="18" t="s">
        <v>112</v>
      </c>
      <c r="G175" s="19">
        <v>46188</v>
      </c>
      <c r="H175" s="18"/>
      <c r="I175" s="18"/>
      <c r="J175" s="18"/>
      <c r="K175" s="18"/>
      <c r="L175" s="18" t="str">
        <f>IF(K175="","",COUNTIF($K$2:K175,"&lt;&gt;"))</f>
        <v/>
      </c>
    </row>
    <row r="176" spans="1:12" x14ac:dyDescent="0.3">
      <c r="A176" s="18" t="s">
        <v>421</v>
      </c>
      <c r="B176" s="15" t="s">
        <v>422</v>
      </c>
      <c r="C176" s="18" t="s">
        <v>93</v>
      </c>
      <c r="D176" s="18" t="s">
        <v>36</v>
      </c>
      <c r="E176" s="18" t="s">
        <v>60</v>
      </c>
      <c r="F176" s="18" t="s">
        <v>112</v>
      </c>
      <c r="G176" s="19">
        <v>46185</v>
      </c>
      <c r="H176" s="18"/>
      <c r="I176" s="18"/>
      <c r="J176" s="18"/>
      <c r="K176" s="18" t="s">
        <v>94</v>
      </c>
      <c r="L176" s="18">
        <f>IF(K176="","",COUNTIF($K$2:K176,"&lt;&gt;"))</f>
        <v>90</v>
      </c>
    </row>
    <row r="177" spans="1:12" x14ac:dyDescent="0.3">
      <c r="A177" s="18" t="s">
        <v>423</v>
      </c>
      <c r="B177" s="15" t="s">
        <v>424</v>
      </c>
      <c r="C177" s="18" t="s">
        <v>24</v>
      </c>
      <c r="D177" s="18" t="s">
        <v>35</v>
      </c>
      <c r="E177" s="18" t="s">
        <v>63</v>
      </c>
      <c r="F177" s="18" t="s">
        <v>64</v>
      </c>
      <c r="G177" s="19">
        <v>46170</v>
      </c>
      <c r="H177" s="18" t="s">
        <v>55</v>
      </c>
      <c r="I177" s="18" t="s">
        <v>56</v>
      </c>
      <c r="J177" s="18">
        <v>3</v>
      </c>
      <c r="K177" s="18"/>
      <c r="L177" s="18" t="str">
        <f>IF(K177="","",COUNTIF($K$2:K177,"&lt;&gt;"))</f>
        <v/>
      </c>
    </row>
    <row r="178" spans="1:12" x14ac:dyDescent="0.3">
      <c r="A178" s="18" t="s">
        <v>425</v>
      </c>
      <c r="B178" s="15" t="s">
        <v>426</v>
      </c>
      <c r="C178" s="18" t="s">
        <v>24</v>
      </c>
      <c r="D178" s="18" t="s">
        <v>37</v>
      </c>
      <c r="E178" s="18" t="s">
        <v>60</v>
      </c>
      <c r="F178" s="18" t="s">
        <v>54</v>
      </c>
      <c r="G178" s="19">
        <v>46197</v>
      </c>
      <c r="H178" s="18" t="s">
        <v>89</v>
      </c>
      <c r="I178" s="18"/>
      <c r="J178" s="18"/>
      <c r="K178" s="18" t="s">
        <v>90</v>
      </c>
      <c r="L178" s="18">
        <f>IF(K178="","",COUNTIF($K$2:K178,"&lt;&gt;"))</f>
        <v>91</v>
      </c>
    </row>
    <row r="179" spans="1:12" x14ac:dyDescent="0.3">
      <c r="A179" s="18" t="s">
        <v>427</v>
      </c>
      <c r="B179" s="15" t="s">
        <v>428</v>
      </c>
      <c r="C179" s="18" t="s">
        <v>59</v>
      </c>
      <c r="D179" s="18" t="s">
        <v>36</v>
      </c>
      <c r="E179" s="18" t="s">
        <v>53</v>
      </c>
      <c r="F179" s="18" t="s">
        <v>112</v>
      </c>
      <c r="G179" s="19">
        <v>46188</v>
      </c>
      <c r="H179" s="18"/>
      <c r="I179" s="18"/>
      <c r="J179" s="18"/>
      <c r="K179" s="18"/>
      <c r="L179" s="18" t="str">
        <f>IF(K179="","",COUNTIF($K$2:K179,"&lt;&gt;"))</f>
        <v/>
      </c>
    </row>
    <row r="180" spans="1:12" x14ac:dyDescent="0.3">
      <c r="A180" s="18" t="s">
        <v>429</v>
      </c>
      <c r="B180" s="15" t="s">
        <v>430</v>
      </c>
      <c r="C180" s="18" t="s">
        <v>24</v>
      </c>
      <c r="D180" s="18" t="s">
        <v>38</v>
      </c>
      <c r="E180" s="18" t="s">
        <v>69</v>
      </c>
      <c r="F180" s="18" t="s">
        <v>88</v>
      </c>
      <c r="G180" s="19">
        <v>46215</v>
      </c>
      <c r="H180" s="18" t="s">
        <v>89</v>
      </c>
      <c r="I180" s="18"/>
      <c r="J180" s="18"/>
      <c r="K180" s="18" t="s">
        <v>90</v>
      </c>
      <c r="L180" s="18">
        <f>IF(K180="","",COUNTIF($K$2:K180,"&lt;&gt;"))</f>
        <v>92</v>
      </c>
    </row>
    <row r="181" spans="1:12" x14ac:dyDescent="0.3">
      <c r="A181" s="18" t="s">
        <v>431</v>
      </c>
      <c r="B181" s="15" t="s">
        <v>432</v>
      </c>
      <c r="C181" s="18" t="s">
        <v>24</v>
      </c>
      <c r="D181" s="18" t="s">
        <v>34</v>
      </c>
      <c r="E181" s="18" t="s">
        <v>69</v>
      </c>
      <c r="F181" s="18" t="s">
        <v>72</v>
      </c>
      <c r="G181" s="19">
        <v>46167</v>
      </c>
      <c r="H181" s="18" t="s">
        <v>55</v>
      </c>
      <c r="I181" s="18" t="s">
        <v>75</v>
      </c>
      <c r="J181" s="18"/>
      <c r="K181" s="18" t="s">
        <v>76</v>
      </c>
      <c r="L181" s="18">
        <f>IF(K181="","",COUNTIF($K$2:K181,"&lt;&gt;"))</f>
        <v>93</v>
      </c>
    </row>
    <row r="182" spans="1:12" x14ac:dyDescent="0.3">
      <c r="A182" s="18" t="s">
        <v>433</v>
      </c>
      <c r="B182" s="15" t="s">
        <v>434</v>
      </c>
      <c r="C182" s="18" t="s">
        <v>24</v>
      </c>
      <c r="D182" s="18" t="s">
        <v>36</v>
      </c>
      <c r="E182" s="18" t="s">
        <v>53</v>
      </c>
      <c r="F182" s="18" t="s">
        <v>112</v>
      </c>
      <c r="G182" s="19">
        <v>46188</v>
      </c>
      <c r="H182" s="18" t="s">
        <v>55</v>
      </c>
      <c r="I182" s="18" t="s">
        <v>56</v>
      </c>
      <c r="J182" s="18">
        <v>4</v>
      </c>
      <c r="K182" s="18" t="s">
        <v>79</v>
      </c>
      <c r="L182" s="18">
        <f>IF(K182="","",COUNTIF($K$2:K182,"&lt;&gt;"))</f>
        <v>94</v>
      </c>
    </row>
    <row r="183" spans="1:12" x14ac:dyDescent="0.3">
      <c r="A183" s="18" t="s">
        <v>435</v>
      </c>
      <c r="B183" s="15" t="s">
        <v>436</v>
      </c>
      <c r="C183" s="18" t="s">
        <v>24</v>
      </c>
      <c r="D183" s="18" t="s">
        <v>36</v>
      </c>
      <c r="E183" s="18" t="s">
        <v>53</v>
      </c>
      <c r="F183" s="18" t="s">
        <v>112</v>
      </c>
      <c r="G183" s="19">
        <v>46188</v>
      </c>
      <c r="H183" s="18" t="s">
        <v>55</v>
      </c>
      <c r="I183" s="18" t="s">
        <v>56</v>
      </c>
      <c r="J183" s="18">
        <v>5</v>
      </c>
      <c r="K183" s="18"/>
      <c r="L183" s="18" t="str">
        <f>IF(K183="","",COUNTIF($K$2:K183,"&lt;&gt;"))</f>
        <v/>
      </c>
    </row>
    <row r="184" spans="1:12" x14ac:dyDescent="0.3">
      <c r="A184" s="18" t="s">
        <v>437</v>
      </c>
      <c r="B184" s="15" t="s">
        <v>438</v>
      </c>
      <c r="C184" s="18" t="s">
        <v>24</v>
      </c>
      <c r="D184" s="18" t="s">
        <v>38</v>
      </c>
      <c r="E184" s="18" t="s">
        <v>60</v>
      </c>
      <c r="F184" s="18" t="s">
        <v>88</v>
      </c>
      <c r="G184" s="19">
        <v>46209</v>
      </c>
      <c r="H184" s="18" t="s">
        <v>55</v>
      </c>
      <c r="I184" s="18" t="s">
        <v>56</v>
      </c>
      <c r="J184" s="18">
        <v>3</v>
      </c>
      <c r="K184" s="18"/>
      <c r="L184" s="18" t="str">
        <f>IF(K184="","",COUNTIF($K$2:K184,"&lt;&gt;"))</f>
        <v/>
      </c>
    </row>
    <row r="185" spans="1:12" x14ac:dyDescent="0.3">
      <c r="A185" s="18" t="s">
        <v>439</v>
      </c>
      <c r="B185" s="15" t="s">
        <v>440</v>
      </c>
      <c r="C185" s="18" t="s">
        <v>24</v>
      </c>
      <c r="D185" s="18" t="s">
        <v>33</v>
      </c>
      <c r="E185" s="18" t="s">
        <v>63</v>
      </c>
      <c r="F185" s="18" t="s">
        <v>97</v>
      </c>
      <c r="G185" s="19">
        <v>46146</v>
      </c>
      <c r="H185" s="18" t="s">
        <v>55</v>
      </c>
      <c r="I185" s="18" t="s">
        <v>56</v>
      </c>
      <c r="J185" s="18">
        <v>3</v>
      </c>
      <c r="K185" s="18"/>
      <c r="L185" s="18" t="str">
        <f>IF(K185="","",COUNTIF($K$2:K185,"&lt;&gt;"))</f>
        <v/>
      </c>
    </row>
    <row r="186" spans="1:12" x14ac:dyDescent="0.3">
      <c r="A186" s="18" t="s">
        <v>441</v>
      </c>
      <c r="B186" s="15" t="s">
        <v>442</v>
      </c>
      <c r="C186" s="18" t="s">
        <v>24</v>
      </c>
      <c r="D186" s="18" t="s">
        <v>35</v>
      </c>
      <c r="E186" s="18" t="s">
        <v>53</v>
      </c>
      <c r="F186" s="18" t="s">
        <v>64</v>
      </c>
      <c r="G186" s="19">
        <v>46176</v>
      </c>
      <c r="H186" s="18" t="s">
        <v>55</v>
      </c>
      <c r="I186" s="18" t="s">
        <v>56</v>
      </c>
      <c r="J186" s="18">
        <v>5</v>
      </c>
      <c r="K186" s="18"/>
      <c r="L186" s="18" t="str">
        <f>IF(K186="","",COUNTIF($K$2:K186,"&lt;&gt;"))</f>
        <v/>
      </c>
    </row>
    <row r="187" spans="1:12" x14ac:dyDescent="0.3">
      <c r="A187" s="18" t="s">
        <v>443</v>
      </c>
      <c r="B187" s="15" t="s">
        <v>444</v>
      </c>
      <c r="C187" s="18" t="s">
        <v>24</v>
      </c>
      <c r="D187" s="18" t="s">
        <v>34</v>
      </c>
      <c r="E187" s="18" t="s">
        <v>53</v>
      </c>
      <c r="F187" s="18" t="s">
        <v>72</v>
      </c>
      <c r="G187" s="19">
        <v>46164</v>
      </c>
      <c r="H187" s="18" t="s">
        <v>55</v>
      </c>
      <c r="I187" s="18" t="s">
        <v>65</v>
      </c>
      <c r="J187" s="18"/>
      <c r="K187" s="18" t="s">
        <v>66</v>
      </c>
      <c r="L187" s="18">
        <f>IF(K187="","",COUNTIF($K$2:K187,"&lt;&gt;"))</f>
        <v>95</v>
      </c>
    </row>
    <row r="188" spans="1:12" x14ac:dyDescent="0.3">
      <c r="A188" s="18" t="s">
        <v>445</v>
      </c>
      <c r="B188" s="15" t="s">
        <v>446</v>
      </c>
      <c r="C188" s="18" t="s">
        <v>24</v>
      </c>
      <c r="D188" s="18" t="s">
        <v>35</v>
      </c>
      <c r="E188" s="18" t="s">
        <v>63</v>
      </c>
      <c r="F188" s="18" t="s">
        <v>64</v>
      </c>
      <c r="G188" s="19">
        <v>46170</v>
      </c>
      <c r="H188" s="18" t="s">
        <v>89</v>
      </c>
      <c r="I188" s="18"/>
      <c r="J188" s="18"/>
      <c r="K188" s="18" t="s">
        <v>90</v>
      </c>
      <c r="L188" s="18">
        <f>IF(K188="","",COUNTIF($K$2:K188,"&lt;&gt;"))</f>
        <v>96</v>
      </c>
    </row>
    <row r="189" spans="1:12" x14ac:dyDescent="0.3">
      <c r="A189" s="18" t="s">
        <v>447</v>
      </c>
      <c r="B189" s="15" t="s">
        <v>448</v>
      </c>
      <c r="C189" s="18" t="s">
        <v>24</v>
      </c>
      <c r="D189" s="18" t="s">
        <v>37</v>
      </c>
      <c r="E189" s="18" t="s">
        <v>69</v>
      </c>
      <c r="F189" s="18" t="s">
        <v>54</v>
      </c>
      <c r="G189" s="19">
        <v>46203</v>
      </c>
      <c r="H189" s="18" t="s">
        <v>55</v>
      </c>
      <c r="I189" s="18" t="s">
        <v>56</v>
      </c>
      <c r="J189" s="18">
        <v>4</v>
      </c>
      <c r="K189" s="18"/>
      <c r="L189" s="18" t="str">
        <f>IF(K189="","",COUNTIF($K$2:K189,"&lt;&gt;"))</f>
        <v/>
      </c>
    </row>
    <row r="190" spans="1:12" x14ac:dyDescent="0.3">
      <c r="A190" s="18" t="s">
        <v>449</v>
      </c>
      <c r="B190" s="15" t="s">
        <v>450</v>
      </c>
      <c r="C190" s="18" t="s">
        <v>24</v>
      </c>
      <c r="D190" s="18" t="s">
        <v>35</v>
      </c>
      <c r="E190" s="18" t="s">
        <v>63</v>
      </c>
      <c r="F190" s="18" t="s">
        <v>64</v>
      </c>
      <c r="G190" s="19">
        <v>46170</v>
      </c>
      <c r="H190" s="18" t="s">
        <v>89</v>
      </c>
      <c r="I190" s="18"/>
      <c r="J190" s="18"/>
      <c r="K190" s="18" t="s">
        <v>90</v>
      </c>
      <c r="L190" s="18">
        <f>IF(K190="","",COUNTIF($K$2:K190,"&lt;&gt;"))</f>
        <v>97</v>
      </c>
    </row>
    <row r="191" spans="1:12" x14ac:dyDescent="0.3">
      <c r="A191" s="18" t="s">
        <v>451</v>
      </c>
      <c r="B191" s="15" t="s">
        <v>452</v>
      </c>
      <c r="C191" s="18" t="s">
        <v>93</v>
      </c>
      <c r="D191" s="18" t="s">
        <v>37</v>
      </c>
      <c r="E191" s="18" t="s">
        <v>63</v>
      </c>
      <c r="F191" s="18" t="s">
        <v>54</v>
      </c>
      <c r="G191" s="19">
        <v>46194</v>
      </c>
      <c r="H191" s="18"/>
      <c r="I191" s="18"/>
      <c r="J191" s="18"/>
      <c r="K191" s="18" t="s">
        <v>94</v>
      </c>
      <c r="L191" s="18">
        <f>IF(K191="","",COUNTIF($K$2:K191,"&lt;&gt;"))</f>
        <v>98</v>
      </c>
    </row>
    <row r="192" spans="1:12" x14ac:dyDescent="0.3">
      <c r="A192" s="18" t="s">
        <v>453</v>
      </c>
      <c r="B192" s="15" t="s">
        <v>454</v>
      </c>
      <c r="C192" s="18" t="s">
        <v>24</v>
      </c>
      <c r="D192" s="18" t="s">
        <v>34</v>
      </c>
      <c r="E192" s="18" t="s">
        <v>69</v>
      </c>
      <c r="F192" s="18" t="s">
        <v>72</v>
      </c>
      <c r="G192" s="19">
        <v>46167</v>
      </c>
      <c r="H192" s="18" t="s">
        <v>55</v>
      </c>
      <c r="I192" s="18" t="s">
        <v>56</v>
      </c>
      <c r="J192" s="18">
        <v>5</v>
      </c>
      <c r="K192" s="18" t="s">
        <v>79</v>
      </c>
      <c r="L192" s="18">
        <f>IF(K192="","",COUNTIF($K$2:K192,"&lt;&gt;"))</f>
        <v>99</v>
      </c>
    </row>
    <row r="193" spans="1:12" x14ac:dyDescent="0.3">
      <c r="A193" s="18" t="s">
        <v>455</v>
      </c>
      <c r="B193" s="15" t="s">
        <v>456</v>
      </c>
      <c r="C193" s="18" t="s">
        <v>59</v>
      </c>
      <c r="D193" s="18" t="s">
        <v>36</v>
      </c>
      <c r="E193" s="18" t="s">
        <v>69</v>
      </c>
      <c r="F193" s="18" t="s">
        <v>112</v>
      </c>
      <c r="G193" s="19">
        <v>46191</v>
      </c>
      <c r="H193" s="18"/>
      <c r="I193" s="18"/>
      <c r="J193" s="18"/>
      <c r="K193" s="18"/>
      <c r="L193" s="18" t="str">
        <f>IF(K193="","",COUNTIF($K$2:K193,"&lt;&gt;"))</f>
        <v/>
      </c>
    </row>
    <row r="194" spans="1:12" x14ac:dyDescent="0.3">
      <c r="A194" s="18" t="s">
        <v>457</v>
      </c>
      <c r="B194" s="15" t="s">
        <v>458</v>
      </c>
      <c r="C194" s="18" t="s">
        <v>24</v>
      </c>
      <c r="D194" s="18" t="s">
        <v>34</v>
      </c>
      <c r="E194" s="18" t="s">
        <v>69</v>
      </c>
      <c r="F194" s="18" t="s">
        <v>72</v>
      </c>
      <c r="G194" s="19">
        <v>46167</v>
      </c>
      <c r="H194" s="18" t="s">
        <v>55</v>
      </c>
      <c r="I194" s="18" t="s">
        <v>56</v>
      </c>
      <c r="J194" s="18">
        <v>4</v>
      </c>
      <c r="K194" s="18"/>
      <c r="L194" s="18" t="str">
        <f>IF(K194="","",COUNTIF($K$2:K194,"&lt;&gt;"))</f>
        <v/>
      </c>
    </row>
    <row r="195" spans="1:12" x14ac:dyDescent="0.3">
      <c r="A195" s="18" t="s">
        <v>459</v>
      </c>
      <c r="B195" s="15" t="s">
        <v>460</v>
      </c>
      <c r="C195" s="18" t="s">
        <v>24</v>
      </c>
      <c r="D195" s="18" t="s">
        <v>38</v>
      </c>
      <c r="E195" s="18" t="s">
        <v>63</v>
      </c>
      <c r="F195" s="18" t="s">
        <v>88</v>
      </c>
      <c r="G195" s="19">
        <v>46206</v>
      </c>
      <c r="H195" s="18" t="s">
        <v>55</v>
      </c>
      <c r="I195" s="18" t="s">
        <v>56</v>
      </c>
      <c r="J195" s="18">
        <v>5</v>
      </c>
      <c r="K195" s="18"/>
      <c r="L195" s="18" t="str">
        <f>IF(K195="","",COUNTIF($K$2:K195,"&lt;&gt;"))</f>
        <v/>
      </c>
    </row>
    <row r="196" spans="1:12" x14ac:dyDescent="0.3">
      <c r="A196" s="18" t="s">
        <v>461</v>
      </c>
      <c r="B196" s="15" t="s">
        <v>462</v>
      </c>
      <c r="C196" s="18" t="s">
        <v>24</v>
      </c>
      <c r="D196" s="18" t="s">
        <v>36</v>
      </c>
      <c r="E196" s="18" t="s">
        <v>53</v>
      </c>
      <c r="F196" s="18" t="s">
        <v>112</v>
      </c>
      <c r="G196" s="19">
        <v>46188</v>
      </c>
      <c r="H196" s="18" t="s">
        <v>55</v>
      </c>
      <c r="I196" s="18" t="s">
        <v>56</v>
      </c>
      <c r="J196" s="18">
        <v>3</v>
      </c>
      <c r="K196" s="18"/>
      <c r="L196" s="18" t="str">
        <f>IF(K196="","",COUNTIF($K$2:K196,"&lt;&gt;"))</f>
        <v/>
      </c>
    </row>
    <row r="197" spans="1:12" x14ac:dyDescent="0.3">
      <c r="A197" s="18" t="s">
        <v>463</v>
      </c>
      <c r="B197" s="15" t="s">
        <v>464</v>
      </c>
      <c r="C197" s="18" t="s">
        <v>24</v>
      </c>
      <c r="D197" s="18" t="s">
        <v>33</v>
      </c>
      <c r="E197" s="18" t="s">
        <v>53</v>
      </c>
      <c r="F197" s="18" t="s">
        <v>97</v>
      </c>
      <c r="G197" s="19">
        <v>46152</v>
      </c>
      <c r="H197" s="18" t="s">
        <v>55</v>
      </c>
      <c r="I197" s="18" t="s">
        <v>56</v>
      </c>
      <c r="J197" s="18">
        <v>3</v>
      </c>
      <c r="K197" s="18"/>
      <c r="L197" s="18" t="str">
        <f>IF(K197="","",COUNTIF($K$2:K197,"&lt;&gt;"))</f>
        <v/>
      </c>
    </row>
    <row r="198" spans="1:12" x14ac:dyDescent="0.3">
      <c r="A198" s="18" t="s">
        <v>465</v>
      </c>
      <c r="B198" s="15" t="s">
        <v>466</v>
      </c>
      <c r="C198" s="18" t="s">
        <v>59</v>
      </c>
      <c r="D198" s="18" t="s">
        <v>36</v>
      </c>
      <c r="E198" s="18" t="s">
        <v>63</v>
      </c>
      <c r="F198" s="18" t="s">
        <v>112</v>
      </c>
      <c r="G198" s="19">
        <v>46182</v>
      </c>
      <c r="H198" s="18"/>
      <c r="I198" s="18"/>
      <c r="J198" s="18"/>
      <c r="K198" s="18"/>
      <c r="L198" s="18" t="str">
        <f>IF(K198="","",COUNTIF($K$2:K198,"&lt;&gt;"))</f>
        <v/>
      </c>
    </row>
    <row r="199" spans="1:12" x14ac:dyDescent="0.3">
      <c r="A199" s="18" t="s">
        <v>467</v>
      </c>
      <c r="B199" s="15" t="s">
        <v>468</v>
      </c>
      <c r="C199" s="18" t="s">
        <v>24</v>
      </c>
      <c r="D199" s="18" t="s">
        <v>35</v>
      </c>
      <c r="E199" s="18" t="s">
        <v>60</v>
      </c>
      <c r="F199" s="18" t="s">
        <v>64</v>
      </c>
      <c r="G199" s="19">
        <v>46173</v>
      </c>
      <c r="H199" s="18" t="s">
        <v>55</v>
      </c>
      <c r="I199" s="18" t="s">
        <v>56</v>
      </c>
      <c r="J199" s="18">
        <v>5</v>
      </c>
      <c r="K199" s="18" t="s">
        <v>79</v>
      </c>
      <c r="L199" s="18">
        <f>IF(K199="","",COUNTIF($K$2:K199,"&lt;&gt;"))</f>
        <v>100</v>
      </c>
    </row>
    <row r="200" spans="1:12" x14ac:dyDescent="0.3">
      <c r="A200" s="18" t="s">
        <v>469</v>
      </c>
      <c r="B200" s="15" t="s">
        <v>470</v>
      </c>
      <c r="C200" s="18" t="s">
        <v>24</v>
      </c>
      <c r="D200" s="18" t="s">
        <v>35</v>
      </c>
      <c r="E200" s="18" t="s">
        <v>69</v>
      </c>
      <c r="F200" s="18" t="s">
        <v>64</v>
      </c>
      <c r="G200" s="19">
        <v>46179</v>
      </c>
      <c r="H200" s="18" t="s">
        <v>55</v>
      </c>
      <c r="I200" s="18" t="s">
        <v>56</v>
      </c>
      <c r="J200" s="18">
        <v>4</v>
      </c>
      <c r="K200" s="18"/>
      <c r="L200" s="18" t="str">
        <f>IF(K200="","",COUNTIF($K$2:K200,"&lt;&gt;"))</f>
        <v/>
      </c>
    </row>
    <row r="201" spans="1:12" x14ac:dyDescent="0.3">
      <c r="A201" s="18" t="s">
        <v>471</v>
      </c>
      <c r="B201" s="15" t="s">
        <v>472</v>
      </c>
      <c r="C201" s="18" t="s">
        <v>93</v>
      </c>
      <c r="D201" s="18" t="s">
        <v>37</v>
      </c>
      <c r="E201" s="18" t="s">
        <v>63</v>
      </c>
      <c r="F201" s="18" t="s">
        <v>54</v>
      </c>
      <c r="G201" s="19">
        <v>46194</v>
      </c>
      <c r="H201" s="18"/>
      <c r="I201" s="18"/>
      <c r="J201" s="18"/>
      <c r="K201" s="18" t="s">
        <v>94</v>
      </c>
      <c r="L201" s="18">
        <f>IF(K201="","",COUNTIF($K$2:K201,"&lt;&gt;"))</f>
        <v>101</v>
      </c>
    </row>
  </sheetData>
  <autoFilter ref="A1:L2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395"/>
  </sheetPr>
  <dimension ref="A1:H39"/>
  <sheetViews>
    <sheetView tabSelected="1" zoomScaleNormal="100" workbookViewId="0">
      <pane ySplit="3" topLeftCell="A4" activePane="bottomLeft" state="frozen"/>
      <selection pane="bottomLeft" activeCell="H4" sqref="H4:H10"/>
    </sheetView>
  </sheetViews>
  <sheetFormatPr defaultColWidth="8.6640625" defaultRowHeight="14.4" x14ac:dyDescent="0.3"/>
  <cols>
    <col min="1" max="1" width="24" customWidth="1"/>
    <col min="2" max="2" width="9" customWidth="1"/>
    <col min="3" max="5" width="13" customWidth="1"/>
    <col min="6" max="6" width="18" customWidth="1"/>
    <col min="7" max="7" width="13.77734375" customWidth="1"/>
    <col min="8" max="8" width="19.21875" customWidth="1"/>
  </cols>
  <sheetData>
    <row r="1" spans="1:8" ht="24" customHeight="1" x14ac:dyDescent="0.4">
      <c r="A1" s="8" t="s">
        <v>473</v>
      </c>
      <c r="B1" s="8"/>
      <c r="C1" s="8"/>
      <c r="D1" s="8"/>
      <c r="E1" s="8"/>
      <c r="F1" s="8"/>
      <c r="G1" s="8"/>
    </row>
    <row r="3" spans="1:8" x14ac:dyDescent="0.3">
      <c r="A3" s="14" t="s">
        <v>30</v>
      </c>
      <c r="B3" s="14" t="s">
        <v>24</v>
      </c>
      <c r="C3" s="14" t="s">
        <v>93</v>
      </c>
      <c r="D3" s="14" t="s">
        <v>59</v>
      </c>
      <c r="E3" s="14" t="s">
        <v>474</v>
      </c>
      <c r="F3" s="14" t="s">
        <v>31</v>
      </c>
      <c r="G3" s="14" t="s">
        <v>475</v>
      </c>
      <c r="H3" s="14" t="s">
        <v>503</v>
      </c>
    </row>
    <row r="4" spans="1:8" x14ac:dyDescent="0.3">
      <c r="A4" s="15" t="s">
        <v>33</v>
      </c>
      <c r="B4" s="18">
        <f>COUNTIFS('Raw Data'!$D$2:$D$201,$A4,'Raw Data'!$C$2:$C$201,"Registered")</f>
        <v>22</v>
      </c>
      <c r="C4" s="18">
        <f>COUNTIFS('Raw Data'!$D$2:$D$201,$A4,'Raw Data'!$C$2:$C$201,"Waitlisted")</f>
        <v>7</v>
      </c>
      <c r="D4" s="18">
        <f>COUNTIFS('Raw Data'!$D$2:$D$201,$A4,'Raw Data'!$C$2:$C$201,"Cancelled")</f>
        <v>3</v>
      </c>
      <c r="E4" s="18">
        <f t="shared" ref="E4:E9" si="0">SUM(B4:D4)</f>
        <v>32</v>
      </c>
      <c r="F4" s="16">
        <f t="shared" ref="F4:F10" si="1">IFERROR(B4/E4,0)</f>
        <v>0.6875</v>
      </c>
      <c r="G4" s="16">
        <f t="shared" ref="G4:G10" si="2">IFERROR(C4/E4,0)</f>
        <v>0.21875</v>
      </c>
      <c r="H4" t="str">
        <f>IF(F4&gt;=80%,"Healthy",IF(F4&gt;=60%,"Monitor","Action Required"))</f>
        <v>Monitor</v>
      </c>
    </row>
    <row r="5" spans="1:8" x14ac:dyDescent="0.3">
      <c r="A5" s="15" t="s">
        <v>34</v>
      </c>
      <c r="B5" s="18">
        <f>COUNTIFS('Raw Data'!$D$2:$D$201,$A5,'Raw Data'!$C$2:$C$201,"Registered")</f>
        <v>34</v>
      </c>
      <c r="C5" s="18">
        <f>COUNTIFS('Raw Data'!$D$2:$D$201,$A5,'Raw Data'!$C$2:$C$201,"Waitlisted")</f>
        <v>4</v>
      </c>
      <c r="D5" s="18">
        <f>COUNTIFS('Raw Data'!$D$2:$D$201,$A5,'Raw Data'!$C$2:$C$201,"Cancelled")</f>
        <v>2</v>
      </c>
      <c r="E5" s="18">
        <f t="shared" si="0"/>
        <v>40</v>
      </c>
      <c r="F5" s="16">
        <f t="shared" si="1"/>
        <v>0.85</v>
      </c>
      <c r="G5" s="16">
        <f t="shared" si="2"/>
        <v>0.1</v>
      </c>
      <c r="H5" t="str">
        <f t="shared" ref="H5:H10" si="3">IF(F5&gt;=80%,"Healthy",IF(F5&gt;=60%,"Monitor","Action Required"))</f>
        <v>Healthy</v>
      </c>
    </row>
    <row r="6" spans="1:8" x14ac:dyDescent="0.3">
      <c r="A6" s="15" t="s">
        <v>35</v>
      </c>
      <c r="B6" s="18">
        <f>COUNTIFS('Raw Data'!$D$2:$D$201,$A6,'Raw Data'!$C$2:$C$201,"Registered")</f>
        <v>19</v>
      </c>
      <c r="C6" s="18">
        <f>COUNTIFS('Raw Data'!$D$2:$D$201,$A6,'Raw Data'!$C$2:$C$201,"Waitlisted")</f>
        <v>2</v>
      </c>
      <c r="D6" s="18">
        <f>COUNTIFS('Raw Data'!$D$2:$D$201,$A6,'Raw Data'!$C$2:$C$201,"Cancelled")</f>
        <v>2</v>
      </c>
      <c r="E6" s="18">
        <f t="shared" si="0"/>
        <v>23</v>
      </c>
      <c r="F6" s="16">
        <f t="shared" si="1"/>
        <v>0.82608695652173914</v>
      </c>
      <c r="G6" s="16">
        <f t="shared" si="2"/>
        <v>8.6956521739130432E-2</v>
      </c>
      <c r="H6" t="str">
        <f t="shared" si="3"/>
        <v>Healthy</v>
      </c>
    </row>
    <row r="7" spans="1:8" x14ac:dyDescent="0.3">
      <c r="A7" s="15" t="s">
        <v>36</v>
      </c>
      <c r="B7" s="18">
        <f>COUNTIFS('Raw Data'!$D$2:$D$201,$A7,'Raw Data'!$C$2:$C$201,"Registered")</f>
        <v>30</v>
      </c>
      <c r="C7" s="18">
        <f>COUNTIFS('Raw Data'!$D$2:$D$201,$A7,'Raw Data'!$C$2:$C$201,"Waitlisted")</f>
        <v>3</v>
      </c>
      <c r="D7" s="18">
        <f>COUNTIFS('Raw Data'!$D$2:$D$201,$A7,'Raw Data'!$C$2:$C$201,"Cancelled")</f>
        <v>5</v>
      </c>
      <c r="E7" s="18">
        <f t="shared" si="0"/>
        <v>38</v>
      </c>
      <c r="F7" s="16">
        <f t="shared" si="1"/>
        <v>0.78947368421052633</v>
      </c>
      <c r="G7" s="16">
        <f t="shared" si="2"/>
        <v>7.8947368421052627E-2</v>
      </c>
      <c r="H7" t="str">
        <f t="shared" si="3"/>
        <v>Monitor</v>
      </c>
    </row>
    <row r="8" spans="1:8" x14ac:dyDescent="0.3">
      <c r="A8" s="15" t="s">
        <v>37</v>
      </c>
      <c r="B8" s="18">
        <f>COUNTIFS('Raw Data'!$D$2:$D$201,$A8,'Raw Data'!$C$2:$C$201,"Registered")</f>
        <v>22</v>
      </c>
      <c r="C8" s="18">
        <f>COUNTIFS('Raw Data'!$D$2:$D$201,$A8,'Raw Data'!$C$2:$C$201,"Waitlisted")</f>
        <v>6</v>
      </c>
      <c r="D8" s="18">
        <f>COUNTIFS('Raw Data'!$D$2:$D$201,$A8,'Raw Data'!$C$2:$C$201,"Cancelled")</f>
        <v>3</v>
      </c>
      <c r="E8" s="18">
        <f t="shared" si="0"/>
        <v>31</v>
      </c>
      <c r="F8" s="16">
        <f t="shared" si="1"/>
        <v>0.70967741935483875</v>
      </c>
      <c r="G8" s="16">
        <f t="shared" si="2"/>
        <v>0.19354838709677419</v>
      </c>
      <c r="H8" t="str">
        <f t="shared" si="3"/>
        <v>Monitor</v>
      </c>
    </row>
    <row r="9" spans="1:8" x14ac:dyDescent="0.3">
      <c r="A9" s="15" t="s">
        <v>38</v>
      </c>
      <c r="B9" s="18">
        <f>COUNTIFS('Raw Data'!$D$2:$D$201,$A9,'Raw Data'!$C$2:$C$201,"Registered")</f>
        <v>31</v>
      </c>
      <c r="C9" s="18">
        <f>COUNTIFS('Raw Data'!$D$2:$D$201,$A9,'Raw Data'!$C$2:$C$201,"Waitlisted")</f>
        <v>4</v>
      </c>
      <c r="D9" s="18">
        <f>COUNTIFS('Raw Data'!$D$2:$D$201,$A9,'Raw Data'!$C$2:$C$201,"Cancelled")</f>
        <v>1</v>
      </c>
      <c r="E9" s="18">
        <f t="shared" si="0"/>
        <v>36</v>
      </c>
      <c r="F9" s="16">
        <f t="shared" si="1"/>
        <v>0.86111111111111116</v>
      </c>
      <c r="G9" s="16">
        <f t="shared" si="2"/>
        <v>0.1111111111111111</v>
      </c>
      <c r="H9" t="str">
        <f t="shared" si="3"/>
        <v>Healthy</v>
      </c>
    </row>
    <row r="10" spans="1:8" x14ac:dyDescent="0.3">
      <c r="A10" s="20" t="s">
        <v>474</v>
      </c>
      <c r="B10" s="21">
        <f>SUM(B4:B9)</f>
        <v>158</v>
      </c>
      <c r="C10" s="21">
        <f>SUM(C4:C9)</f>
        <v>26</v>
      </c>
      <c r="D10" s="21">
        <f>SUM(D4:D9)</f>
        <v>16</v>
      </c>
      <c r="E10" s="21">
        <f>SUM(E4:E9)</f>
        <v>200</v>
      </c>
      <c r="F10" s="22">
        <f t="shared" si="1"/>
        <v>0.79</v>
      </c>
      <c r="G10" s="22">
        <f t="shared" si="2"/>
        <v>0.13</v>
      </c>
      <c r="H10" t="str">
        <f t="shared" si="3"/>
        <v>Monitor</v>
      </c>
    </row>
    <row r="13" spans="1:8" ht="24" customHeight="1" x14ac:dyDescent="0.4">
      <c r="A13" s="8" t="s">
        <v>476</v>
      </c>
      <c r="B13" s="8"/>
      <c r="C13" s="8"/>
      <c r="D13" s="8"/>
      <c r="E13" s="8"/>
    </row>
    <row r="15" spans="1:8" x14ac:dyDescent="0.3">
      <c r="A15" s="14" t="s">
        <v>30</v>
      </c>
      <c r="B15" s="14" t="s">
        <v>43</v>
      </c>
      <c r="C15" s="14" t="s">
        <v>24</v>
      </c>
      <c r="D15" s="14" t="s">
        <v>93</v>
      </c>
      <c r="E15" s="14" t="s">
        <v>59</v>
      </c>
    </row>
    <row r="16" spans="1:8" x14ac:dyDescent="0.3">
      <c r="A16" s="15" t="s">
        <v>33</v>
      </c>
      <c r="B16" s="18" t="s">
        <v>63</v>
      </c>
      <c r="C16" s="18">
        <f>COUNTIFS('Raw Data'!$D$2:$D$201,$A16,'Raw Data'!$E$2:$E$201,$B16,'Raw Data'!$C$2:$C$201,"Registered")</f>
        <v>7</v>
      </c>
      <c r="D16" s="18">
        <f>COUNTIFS('Raw Data'!$D$2:$D$201,$A16,'Raw Data'!$E$2:$E$201,$B16,'Raw Data'!$C$2:$C$201,"Waitlisted")</f>
        <v>1</v>
      </c>
      <c r="E16" s="18">
        <f>COUNTIFS('Raw Data'!$D$2:$D$201,$A16,'Raw Data'!$E$2:$E$201,$B16,'Raw Data'!$C$2:$C$201,"Cancelled")</f>
        <v>0</v>
      </c>
    </row>
    <row r="17" spans="1:5" x14ac:dyDescent="0.3">
      <c r="A17" s="15" t="s">
        <v>33</v>
      </c>
      <c r="B17" s="18" t="s">
        <v>60</v>
      </c>
      <c r="C17" s="18">
        <f>COUNTIFS('Raw Data'!$D$2:$D$201,$A17,'Raw Data'!$E$2:$E$201,$B17,'Raw Data'!$C$2:$C$201,"Registered")</f>
        <v>4</v>
      </c>
      <c r="D17" s="18">
        <f>COUNTIFS('Raw Data'!$D$2:$D$201,$A17,'Raw Data'!$E$2:$E$201,$B17,'Raw Data'!$C$2:$C$201,"Waitlisted")</f>
        <v>4</v>
      </c>
      <c r="E17" s="18">
        <f>COUNTIFS('Raw Data'!$D$2:$D$201,$A17,'Raw Data'!$E$2:$E$201,$B17,'Raw Data'!$C$2:$C$201,"Cancelled")</f>
        <v>1</v>
      </c>
    </row>
    <row r="18" spans="1:5" x14ac:dyDescent="0.3">
      <c r="A18" s="15" t="s">
        <v>33</v>
      </c>
      <c r="B18" s="18" t="s">
        <v>53</v>
      </c>
      <c r="C18" s="18">
        <f>COUNTIFS('Raw Data'!$D$2:$D$201,$A18,'Raw Data'!$E$2:$E$201,$B18,'Raw Data'!$C$2:$C$201,"Registered")</f>
        <v>7</v>
      </c>
      <c r="D18" s="18">
        <f>COUNTIFS('Raw Data'!$D$2:$D$201,$A18,'Raw Data'!$E$2:$E$201,$B18,'Raw Data'!$C$2:$C$201,"Waitlisted")</f>
        <v>2</v>
      </c>
      <c r="E18" s="18">
        <f>COUNTIFS('Raw Data'!$D$2:$D$201,$A18,'Raw Data'!$E$2:$E$201,$B18,'Raw Data'!$C$2:$C$201,"Cancelled")</f>
        <v>0</v>
      </c>
    </row>
    <row r="19" spans="1:5" x14ac:dyDescent="0.3">
      <c r="A19" s="15" t="s">
        <v>33</v>
      </c>
      <c r="B19" s="18" t="s">
        <v>69</v>
      </c>
      <c r="C19" s="18">
        <f>COUNTIFS('Raw Data'!$D$2:$D$201,$A19,'Raw Data'!$E$2:$E$201,$B19,'Raw Data'!$C$2:$C$201,"Registered")</f>
        <v>4</v>
      </c>
      <c r="D19" s="18">
        <f>COUNTIFS('Raw Data'!$D$2:$D$201,$A19,'Raw Data'!$E$2:$E$201,$B19,'Raw Data'!$C$2:$C$201,"Waitlisted")</f>
        <v>0</v>
      </c>
      <c r="E19" s="18">
        <f>COUNTIFS('Raw Data'!$D$2:$D$201,$A19,'Raw Data'!$E$2:$E$201,$B19,'Raw Data'!$C$2:$C$201,"Cancelled")</f>
        <v>2</v>
      </c>
    </row>
    <row r="20" spans="1:5" x14ac:dyDescent="0.3">
      <c r="A20" s="15" t="s">
        <v>34</v>
      </c>
      <c r="B20" s="18" t="s">
        <v>63</v>
      </c>
      <c r="C20" s="18">
        <f>COUNTIFS('Raw Data'!$D$2:$D$201,$A20,'Raw Data'!$E$2:$E$201,$B20,'Raw Data'!$C$2:$C$201,"Registered")</f>
        <v>8</v>
      </c>
      <c r="D20" s="18">
        <f>COUNTIFS('Raw Data'!$D$2:$D$201,$A20,'Raw Data'!$E$2:$E$201,$B20,'Raw Data'!$C$2:$C$201,"Waitlisted")</f>
        <v>2</v>
      </c>
      <c r="E20" s="18">
        <f>COUNTIFS('Raw Data'!$D$2:$D$201,$A20,'Raw Data'!$E$2:$E$201,$B20,'Raw Data'!$C$2:$C$201,"Cancelled")</f>
        <v>0</v>
      </c>
    </row>
    <row r="21" spans="1:5" x14ac:dyDescent="0.3">
      <c r="A21" s="15" t="s">
        <v>34</v>
      </c>
      <c r="B21" s="18" t="s">
        <v>60</v>
      </c>
      <c r="C21" s="18">
        <f>COUNTIFS('Raw Data'!$D$2:$D$201,$A21,'Raw Data'!$E$2:$E$201,$B21,'Raw Data'!$C$2:$C$201,"Registered")</f>
        <v>6</v>
      </c>
      <c r="D21" s="18">
        <f>COUNTIFS('Raw Data'!$D$2:$D$201,$A21,'Raw Data'!$E$2:$E$201,$B21,'Raw Data'!$C$2:$C$201,"Waitlisted")</f>
        <v>0</v>
      </c>
      <c r="E21" s="18">
        <f>COUNTIFS('Raw Data'!$D$2:$D$201,$A21,'Raw Data'!$E$2:$E$201,$B21,'Raw Data'!$C$2:$C$201,"Cancelled")</f>
        <v>2</v>
      </c>
    </row>
    <row r="22" spans="1:5" x14ac:dyDescent="0.3">
      <c r="A22" s="15" t="s">
        <v>34</v>
      </c>
      <c r="B22" s="18" t="s">
        <v>53</v>
      </c>
      <c r="C22" s="18">
        <f>COUNTIFS('Raw Data'!$D$2:$D$201,$A22,'Raw Data'!$E$2:$E$201,$B22,'Raw Data'!$C$2:$C$201,"Registered")</f>
        <v>7</v>
      </c>
      <c r="D22" s="18">
        <f>COUNTIFS('Raw Data'!$D$2:$D$201,$A22,'Raw Data'!$E$2:$E$201,$B22,'Raw Data'!$C$2:$C$201,"Waitlisted")</f>
        <v>1</v>
      </c>
      <c r="E22" s="18">
        <f>COUNTIFS('Raw Data'!$D$2:$D$201,$A22,'Raw Data'!$E$2:$E$201,$B22,'Raw Data'!$C$2:$C$201,"Cancelled")</f>
        <v>0</v>
      </c>
    </row>
    <row r="23" spans="1:5" x14ac:dyDescent="0.3">
      <c r="A23" s="15" t="s">
        <v>34</v>
      </c>
      <c r="B23" s="18" t="s">
        <v>69</v>
      </c>
      <c r="C23" s="18">
        <f>COUNTIFS('Raw Data'!$D$2:$D$201,$A23,'Raw Data'!$E$2:$E$201,$B23,'Raw Data'!$C$2:$C$201,"Registered")</f>
        <v>13</v>
      </c>
      <c r="D23" s="18">
        <f>COUNTIFS('Raw Data'!$D$2:$D$201,$A23,'Raw Data'!$E$2:$E$201,$B23,'Raw Data'!$C$2:$C$201,"Waitlisted")</f>
        <v>1</v>
      </c>
      <c r="E23" s="18">
        <f>COUNTIFS('Raw Data'!$D$2:$D$201,$A23,'Raw Data'!$E$2:$E$201,$B23,'Raw Data'!$C$2:$C$201,"Cancelled")</f>
        <v>0</v>
      </c>
    </row>
    <row r="24" spans="1:5" x14ac:dyDescent="0.3">
      <c r="A24" s="15" t="s">
        <v>35</v>
      </c>
      <c r="B24" s="18" t="s">
        <v>63</v>
      </c>
      <c r="C24" s="18">
        <f>COUNTIFS('Raw Data'!$D$2:$D$201,$A24,'Raw Data'!$E$2:$E$201,$B24,'Raw Data'!$C$2:$C$201,"Registered")</f>
        <v>7</v>
      </c>
      <c r="D24" s="18">
        <f>COUNTIFS('Raw Data'!$D$2:$D$201,$A24,'Raw Data'!$E$2:$E$201,$B24,'Raw Data'!$C$2:$C$201,"Waitlisted")</f>
        <v>0</v>
      </c>
      <c r="E24" s="18">
        <f>COUNTIFS('Raw Data'!$D$2:$D$201,$A24,'Raw Data'!$E$2:$E$201,$B24,'Raw Data'!$C$2:$C$201,"Cancelled")</f>
        <v>0</v>
      </c>
    </row>
    <row r="25" spans="1:5" x14ac:dyDescent="0.3">
      <c r="A25" s="15" t="s">
        <v>35</v>
      </c>
      <c r="B25" s="18" t="s">
        <v>60</v>
      </c>
      <c r="C25" s="18">
        <f>COUNTIFS('Raw Data'!$D$2:$D$201,$A25,'Raw Data'!$E$2:$E$201,$B25,'Raw Data'!$C$2:$C$201,"Registered")</f>
        <v>1</v>
      </c>
      <c r="D25" s="18">
        <f>COUNTIFS('Raw Data'!$D$2:$D$201,$A25,'Raw Data'!$E$2:$E$201,$B25,'Raw Data'!$C$2:$C$201,"Waitlisted")</f>
        <v>0</v>
      </c>
      <c r="E25" s="18">
        <f>COUNTIFS('Raw Data'!$D$2:$D$201,$A25,'Raw Data'!$E$2:$E$201,$B25,'Raw Data'!$C$2:$C$201,"Cancelled")</f>
        <v>1</v>
      </c>
    </row>
    <row r="26" spans="1:5" x14ac:dyDescent="0.3">
      <c r="A26" s="15" t="s">
        <v>35</v>
      </c>
      <c r="B26" s="18" t="s">
        <v>53</v>
      </c>
      <c r="C26" s="18">
        <f>COUNTIFS('Raw Data'!$D$2:$D$201,$A26,'Raw Data'!$E$2:$E$201,$B26,'Raw Data'!$C$2:$C$201,"Registered")</f>
        <v>8</v>
      </c>
      <c r="D26" s="18">
        <f>COUNTIFS('Raw Data'!$D$2:$D$201,$A26,'Raw Data'!$E$2:$E$201,$B26,'Raw Data'!$C$2:$C$201,"Waitlisted")</f>
        <v>2</v>
      </c>
      <c r="E26" s="18">
        <f>COUNTIFS('Raw Data'!$D$2:$D$201,$A26,'Raw Data'!$E$2:$E$201,$B26,'Raw Data'!$C$2:$C$201,"Cancelled")</f>
        <v>0</v>
      </c>
    </row>
    <row r="27" spans="1:5" x14ac:dyDescent="0.3">
      <c r="A27" s="15" t="s">
        <v>35</v>
      </c>
      <c r="B27" s="18" t="s">
        <v>69</v>
      </c>
      <c r="C27" s="18">
        <f>COUNTIFS('Raw Data'!$D$2:$D$201,$A27,'Raw Data'!$E$2:$E$201,$B27,'Raw Data'!$C$2:$C$201,"Registered")</f>
        <v>3</v>
      </c>
      <c r="D27" s="18">
        <f>COUNTIFS('Raw Data'!$D$2:$D$201,$A27,'Raw Data'!$E$2:$E$201,$B27,'Raw Data'!$C$2:$C$201,"Waitlisted")</f>
        <v>0</v>
      </c>
      <c r="E27" s="18">
        <f>COUNTIFS('Raw Data'!$D$2:$D$201,$A27,'Raw Data'!$E$2:$E$201,$B27,'Raw Data'!$C$2:$C$201,"Cancelled")</f>
        <v>1</v>
      </c>
    </row>
    <row r="28" spans="1:5" x14ac:dyDescent="0.3">
      <c r="A28" s="15" t="s">
        <v>36</v>
      </c>
      <c r="B28" s="18" t="s">
        <v>63</v>
      </c>
      <c r="C28" s="18">
        <f>COUNTIFS('Raw Data'!$D$2:$D$201,$A28,'Raw Data'!$E$2:$E$201,$B28,'Raw Data'!$C$2:$C$201,"Registered")</f>
        <v>7</v>
      </c>
      <c r="D28" s="18">
        <f>COUNTIFS('Raw Data'!$D$2:$D$201,$A28,'Raw Data'!$E$2:$E$201,$B28,'Raw Data'!$C$2:$C$201,"Waitlisted")</f>
        <v>1</v>
      </c>
      <c r="E28" s="18">
        <f>COUNTIFS('Raw Data'!$D$2:$D$201,$A28,'Raw Data'!$E$2:$E$201,$B28,'Raw Data'!$C$2:$C$201,"Cancelled")</f>
        <v>1</v>
      </c>
    </row>
    <row r="29" spans="1:5" x14ac:dyDescent="0.3">
      <c r="A29" s="15" t="s">
        <v>36</v>
      </c>
      <c r="B29" s="18" t="s">
        <v>60</v>
      </c>
      <c r="C29" s="18">
        <f>COUNTIFS('Raw Data'!$D$2:$D$201,$A29,'Raw Data'!$E$2:$E$201,$B29,'Raw Data'!$C$2:$C$201,"Registered")</f>
        <v>10</v>
      </c>
      <c r="D29" s="18">
        <f>COUNTIFS('Raw Data'!$D$2:$D$201,$A29,'Raw Data'!$E$2:$E$201,$B29,'Raw Data'!$C$2:$C$201,"Waitlisted")</f>
        <v>2</v>
      </c>
      <c r="E29" s="18">
        <f>COUNTIFS('Raw Data'!$D$2:$D$201,$A29,'Raw Data'!$E$2:$E$201,$B29,'Raw Data'!$C$2:$C$201,"Cancelled")</f>
        <v>1</v>
      </c>
    </row>
    <row r="30" spans="1:5" x14ac:dyDescent="0.3">
      <c r="A30" s="15" t="s">
        <v>36</v>
      </c>
      <c r="B30" s="18" t="s">
        <v>53</v>
      </c>
      <c r="C30" s="18">
        <f>COUNTIFS('Raw Data'!$D$2:$D$201,$A30,'Raw Data'!$E$2:$E$201,$B30,'Raw Data'!$C$2:$C$201,"Registered")</f>
        <v>10</v>
      </c>
      <c r="D30" s="18">
        <f>COUNTIFS('Raw Data'!$D$2:$D$201,$A30,'Raw Data'!$E$2:$E$201,$B30,'Raw Data'!$C$2:$C$201,"Waitlisted")</f>
        <v>0</v>
      </c>
      <c r="E30" s="18">
        <f>COUNTIFS('Raw Data'!$D$2:$D$201,$A30,'Raw Data'!$E$2:$E$201,$B30,'Raw Data'!$C$2:$C$201,"Cancelled")</f>
        <v>2</v>
      </c>
    </row>
    <row r="31" spans="1:5" x14ac:dyDescent="0.3">
      <c r="A31" s="15" t="s">
        <v>36</v>
      </c>
      <c r="B31" s="18" t="s">
        <v>69</v>
      </c>
      <c r="C31" s="18">
        <f>COUNTIFS('Raw Data'!$D$2:$D$201,$A31,'Raw Data'!$E$2:$E$201,$B31,'Raw Data'!$C$2:$C$201,"Registered")</f>
        <v>3</v>
      </c>
      <c r="D31" s="18">
        <f>COUNTIFS('Raw Data'!$D$2:$D$201,$A31,'Raw Data'!$E$2:$E$201,$B31,'Raw Data'!$C$2:$C$201,"Waitlisted")</f>
        <v>0</v>
      </c>
      <c r="E31" s="18">
        <f>COUNTIFS('Raw Data'!$D$2:$D$201,$A31,'Raw Data'!$E$2:$E$201,$B31,'Raw Data'!$C$2:$C$201,"Cancelled")</f>
        <v>1</v>
      </c>
    </row>
    <row r="32" spans="1:5" x14ac:dyDescent="0.3">
      <c r="A32" s="15" t="s">
        <v>37</v>
      </c>
      <c r="B32" s="18" t="s">
        <v>63</v>
      </c>
      <c r="C32" s="18">
        <f>COUNTIFS('Raw Data'!$D$2:$D$201,$A32,'Raw Data'!$E$2:$E$201,$B32,'Raw Data'!$C$2:$C$201,"Registered")</f>
        <v>5</v>
      </c>
      <c r="D32" s="18">
        <f>COUNTIFS('Raw Data'!$D$2:$D$201,$A32,'Raw Data'!$E$2:$E$201,$B32,'Raw Data'!$C$2:$C$201,"Waitlisted")</f>
        <v>3</v>
      </c>
      <c r="E32" s="18">
        <f>COUNTIFS('Raw Data'!$D$2:$D$201,$A32,'Raw Data'!$E$2:$E$201,$B32,'Raw Data'!$C$2:$C$201,"Cancelled")</f>
        <v>0</v>
      </c>
    </row>
    <row r="33" spans="1:5" x14ac:dyDescent="0.3">
      <c r="A33" s="15" t="s">
        <v>37</v>
      </c>
      <c r="B33" s="18" t="s">
        <v>60</v>
      </c>
      <c r="C33" s="18">
        <f>COUNTIFS('Raw Data'!$D$2:$D$201,$A33,'Raw Data'!$E$2:$E$201,$B33,'Raw Data'!$C$2:$C$201,"Registered")</f>
        <v>9</v>
      </c>
      <c r="D33" s="18">
        <f>COUNTIFS('Raw Data'!$D$2:$D$201,$A33,'Raw Data'!$E$2:$E$201,$B33,'Raw Data'!$C$2:$C$201,"Waitlisted")</f>
        <v>1</v>
      </c>
      <c r="E33" s="18">
        <f>COUNTIFS('Raw Data'!$D$2:$D$201,$A33,'Raw Data'!$E$2:$E$201,$B33,'Raw Data'!$C$2:$C$201,"Cancelled")</f>
        <v>2</v>
      </c>
    </row>
    <row r="34" spans="1:5" x14ac:dyDescent="0.3">
      <c r="A34" s="15" t="s">
        <v>37</v>
      </c>
      <c r="B34" s="18" t="s">
        <v>53</v>
      </c>
      <c r="C34" s="18">
        <f>COUNTIFS('Raw Data'!$D$2:$D$201,$A34,'Raw Data'!$E$2:$E$201,$B34,'Raw Data'!$C$2:$C$201,"Registered")</f>
        <v>3</v>
      </c>
      <c r="D34" s="18">
        <f>COUNTIFS('Raw Data'!$D$2:$D$201,$A34,'Raw Data'!$E$2:$E$201,$B34,'Raw Data'!$C$2:$C$201,"Waitlisted")</f>
        <v>1</v>
      </c>
      <c r="E34" s="18">
        <f>COUNTIFS('Raw Data'!$D$2:$D$201,$A34,'Raw Data'!$E$2:$E$201,$B34,'Raw Data'!$C$2:$C$201,"Cancelled")</f>
        <v>1</v>
      </c>
    </row>
    <row r="35" spans="1:5" x14ac:dyDescent="0.3">
      <c r="A35" s="15" t="s">
        <v>37</v>
      </c>
      <c r="B35" s="18" t="s">
        <v>69</v>
      </c>
      <c r="C35" s="18">
        <f>COUNTIFS('Raw Data'!$D$2:$D$201,$A35,'Raw Data'!$E$2:$E$201,$B35,'Raw Data'!$C$2:$C$201,"Registered")</f>
        <v>5</v>
      </c>
      <c r="D35" s="18">
        <f>COUNTIFS('Raw Data'!$D$2:$D$201,$A35,'Raw Data'!$E$2:$E$201,$B35,'Raw Data'!$C$2:$C$201,"Waitlisted")</f>
        <v>1</v>
      </c>
      <c r="E35" s="18">
        <f>COUNTIFS('Raw Data'!$D$2:$D$201,$A35,'Raw Data'!$E$2:$E$201,$B35,'Raw Data'!$C$2:$C$201,"Cancelled")</f>
        <v>0</v>
      </c>
    </row>
    <row r="36" spans="1:5" x14ac:dyDescent="0.3">
      <c r="A36" s="15" t="s">
        <v>38</v>
      </c>
      <c r="B36" s="18" t="s">
        <v>63</v>
      </c>
      <c r="C36" s="18">
        <f>COUNTIFS('Raw Data'!$D$2:$D$201,$A36,'Raw Data'!$E$2:$E$201,$B36,'Raw Data'!$C$2:$C$201,"Registered")</f>
        <v>7</v>
      </c>
      <c r="D36" s="18">
        <f>COUNTIFS('Raw Data'!$D$2:$D$201,$A36,'Raw Data'!$E$2:$E$201,$B36,'Raw Data'!$C$2:$C$201,"Waitlisted")</f>
        <v>0</v>
      </c>
      <c r="E36" s="18">
        <f>COUNTIFS('Raw Data'!$D$2:$D$201,$A36,'Raw Data'!$E$2:$E$201,$B36,'Raw Data'!$C$2:$C$201,"Cancelled")</f>
        <v>0</v>
      </c>
    </row>
    <row r="37" spans="1:5" x14ac:dyDescent="0.3">
      <c r="A37" s="15" t="s">
        <v>38</v>
      </c>
      <c r="B37" s="18" t="s">
        <v>60</v>
      </c>
      <c r="C37" s="18">
        <f>COUNTIFS('Raw Data'!$D$2:$D$201,$A37,'Raw Data'!$E$2:$E$201,$B37,'Raw Data'!$C$2:$C$201,"Registered")</f>
        <v>11</v>
      </c>
      <c r="D37" s="18">
        <f>COUNTIFS('Raw Data'!$D$2:$D$201,$A37,'Raw Data'!$E$2:$E$201,$B37,'Raw Data'!$C$2:$C$201,"Waitlisted")</f>
        <v>0</v>
      </c>
      <c r="E37" s="18">
        <f>COUNTIFS('Raw Data'!$D$2:$D$201,$A37,'Raw Data'!$E$2:$E$201,$B37,'Raw Data'!$C$2:$C$201,"Cancelled")</f>
        <v>0</v>
      </c>
    </row>
    <row r="38" spans="1:5" x14ac:dyDescent="0.3">
      <c r="A38" s="15" t="s">
        <v>38</v>
      </c>
      <c r="B38" s="18" t="s">
        <v>53</v>
      </c>
      <c r="C38" s="18">
        <f>COUNTIFS('Raw Data'!$D$2:$D$201,$A38,'Raw Data'!$E$2:$E$201,$B38,'Raw Data'!$C$2:$C$201,"Registered")</f>
        <v>5</v>
      </c>
      <c r="D38" s="18">
        <f>COUNTIFS('Raw Data'!$D$2:$D$201,$A38,'Raw Data'!$E$2:$E$201,$B38,'Raw Data'!$C$2:$C$201,"Waitlisted")</f>
        <v>2</v>
      </c>
      <c r="E38" s="18">
        <f>COUNTIFS('Raw Data'!$D$2:$D$201,$A38,'Raw Data'!$E$2:$E$201,$B38,'Raw Data'!$C$2:$C$201,"Cancelled")</f>
        <v>0</v>
      </c>
    </row>
    <row r="39" spans="1:5" x14ac:dyDescent="0.3">
      <c r="A39" s="15" t="s">
        <v>38</v>
      </c>
      <c r="B39" s="18" t="s">
        <v>69</v>
      </c>
      <c r="C39" s="18">
        <f>COUNTIFS('Raw Data'!$D$2:$D$201,$A39,'Raw Data'!$E$2:$E$201,$B39,'Raw Data'!$C$2:$C$201,"Registered")</f>
        <v>8</v>
      </c>
      <c r="D39" s="18">
        <f>COUNTIFS('Raw Data'!$D$2:$D$201,$A39,'Raw Data'!$E$2:$E$201,$B39,'Raw Data'!$C$2:$C$201,"Waitlisted")</f>
        <v>2</v>
      </c>
      <c r="E39" s="18">
        <f>COUNTIFS('Raw Data'!$D$2:$D$201,$A39,'Raw Data'!$E$2:$E$201,$B39,'Raw Data'!$C$2:$C$201,"Cancelled")</f>
        <v>1</v>
      </c>
    </row>
  </sheetData>
  <mergeCells count="2">
    <mergeCell ref="A1:G1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395"/>
  </sheetPr>
  <dimension ref="A1:H29"/>
  <sheetViews>
    <sheetView zoomScaleNormal="100" workbookViewId="0">
      <pane ySplit="3" topLeftCell="A23" activePane="bottomLeft" state="frozen"/>
      <selection pane="bottomLeft" activeCell="H13" sqref="H13"/>
    </sheetView>
  </sheetViews>
  <sheetFormatPr defaultColWidth="8.6640625" defaultRowHeight="14.4" x14ac:dyDescent="0.3"/>
  <cols>
    <col min="1" max="1" width="24" customWidth="1"/>
    <col min="2" max="2" width="8" customWidth="1"/>
    <col min="3" max="3" width="16" customWidth="1"/>
    <col min="4" max="4" width="14" customWidth="1"/>
    <col min="5" max="5" width="12" customWidth="1"/>
    <col min="6" max="6" width="10" customWidth="1"/>
    <col min="7" max="7" width="15" customWidth="1"/>
    <col min="8" max="8" width="14" customWidth="1"/>
  </cols>
  <sheetData>
    <row r="1" spans="1:8" ht="24" customHeight="1" x14ac:dyDescent="0.4">
      <c r="A1" s="8" t="s">
        <v>477</v>
      </c>
      <c r="B1" s="8"/>
      <c r="C1" s="8"/>
      <c r="D1" s="8"/>
      <c r="E1" s="8"/>
      <c r="F1" s="8"/>
      <c r="G1" s="8"/>
      <c r="H1" s="8"/>
    </row>
    <row r="3" spans="1:8" x14ac:dyDescent="0.3">
      <c r="A3" s="14" t="s">
        <v>30</v>
      </c>
      <c r="B3" s="14" t="s">
        <v>43</v>
      </c>
      <c r="C3" s="14" t="s">
        <v>44</v>
      </c>
      <c r="D3" s="14" t="s">
        <v>45</v>
      </c>
      <c r="E3" s="14" t="s">
        <v>24</v>
      </c>
      <c r="F3" s="14" t="s">
        <v>478</v>
      </c>
      <c r="G3" s="14" t="s">
        <v>479</v>
      </c>
      <c r="H3" s="14" t="s">
        <v>480</v>
      </c>
    </row>
    <row r="4" spans="1:8" x14ac:dyDescent="0.3">
      <c r="A4" s="15" t="s">
        <v>33</v>
      </c>
      <c r="B4" s="18" t="s">
        <v>63</v>
      </c>
      <c r="C4" s="15" t="s">
        <v>97</v>
      </c>
      <c r="D4" s="19">
        <v>46146</v>
      </c>
      <c r="E4" s="18">
        <f>COUNTIFS('Raw Data'!$D$2:$D$201,$A4,'Raw Data'!$E$2:$E$201,$B4,'Raw Data'!$C$2:$C$201,"Registered")</f>
        <v>7</v>
      </c>
      <c r="F4" s="18">
        <v>12</v>
      </c>
      <c r="G4" s="18">
        <f t="shared" ref="G4:G27" si="0">F4-E4</f>
        <v>5</v>
      </c>
      <c r="H4" s="18" t="str">
        <f t="shared" ref="H4:H27" si="1">IF(G4&lt;=0,"Full",IF(G4&lt;=2,"Filling Fast","Open"))</f>
        <v>Open</v>
      </c>
    </row>
    <row r="5" spans="1:8" x14ac:dyDescent="0.3">
      <c r="A5" s="15" t="s">
        <v>33</v>
      </c>
      <c r="B5" s="18" t="s">
        <v>60</v>
      </c>
      <c r="C5" s="15" t="s">
        <v>97</v>
      </c>
      <c r="D5" s="19">
        <v>46149</v>
      </c>
      <c r="E5" s="18">
        <f>COUNTIFS('Raw Data'!$D$2:$D$201,$A5,'Raw Data'!$E$2:$E$201,$B5,'Raw Data'!$C$2:$C$201,"Registered")</f>
        <v>4</v>
      </c>
      <c r="F5" s="18">
        <v>12</v>
      </c>
      <c r="G5" s="18">
        <f t="shared" si="0"/>
        <v>8</v>
      </c>
      <c r="H5" s="18" t="str">
        <f t="shared" si="1"/>
        <v>Open</v>
      </c>
    </row>
    <row r="6" spans="1:8" x14ac:dyDescent="0.3">
      <c r="A6" s="15" t="s">
        <v>33</v>
      </c>
      <c r="B6" s="18" t="s">
        <v>53</v>
      </c>
      <c r="C6" s="15" t="s">
        <v>97</v>
      </c>
      <c r="D6" s="19">
        <v>46152</v>
      </c>
      <c r="E6" s="18">
        <f>COUNTIFS('Raw Data'!$D$2:$D$201,$A6,'Raw Data'!$E$2:$E$201,$B6,'Raw Data'!$C$2:$C$201,"Registered")</f>
        <v>7</v>
      </c>
      <c r="F6" s="18">
        <v>12</v>
      </c>
      <c r="G6" s="18">
        <f t="shared" si="0"/>
        <v>5</v>
      </c>
      <c r="H6" s="18" t="str">
        <f t="shared" si="1"/>
        <v>Open</v>
      </c>
    </row>
    <row r="7" spans="1:8" x14ac:dyDescent="0.3">
      <c r="A7" s="15" t="s">
        <v>33</v>
      </c>
      <c r="B7" s="18" t="s">
        <v>69</v>
      </c>
      <c r="C7" s="15" t="s">
        <v>97</v>
      </c>
      <c r="D7" s="19">
        <v>46155</v>
      </c>
      <c r="E7" s="18">
        <f>COUNTIFS('Raw Data'!$D$2:$D$201,$A7,'Raw Data'!$E$2:$E$201,$B7,'Raw Data'!$C$2:$C$201,"Registered")</f>
        <v>4</v>
      </c>
      <c r="F7" s="18">
        <v>12</v>
      </c>
      <c r="G7" s="18">
        <f t="shared" si="0"/>
        <v>8</v>
      </c>
      <c r="H7" s="18" t="str">
        <f t="shared" si="1"/>
        <v>Open</v>
      </c>
    </row>
    <row r="8" spans="1:8" x14ac:dyDescent="0.3">
      <c r="A8" s="15" t="s">
        <v>34</v>
      </c>
      <c r="B8" s="18" t="s">
        <v>63</v>
      </c>
      <c r="C8" s="15" t="s">
        <v>72</v>
      </c>
      <c r="D8" s="19">
        <v>46158</v>
      </c>
      <c r="E8" s="18">
        <f>COUNTIFS('Raw Data'!$D$2:$D$201,$A8,'Raw Data'!$E$2:$E$201,$B8,'Raw Data'!$C$2:$C$201,"Registered")</f>
        <v>8</v>
      </c>
      <c r="F8" s="18">
        <v>12</v>
      </c>
      <c r="G8" s="18">
        <f t="shared" si="0"/>
        <v>4</v>
      </c>
      <c r="H8" s="18" t="str">
        <f t="shared" si="1"/>
        <v>Open</v>
      </c>
    </row>
    <row r="9" spans="1:8" x14ac:dyDescent="0.3">
      <c r="A9" s="15" t="s">
        <v>34</v>
      </c>
      <c r="B9" s="18" t="s">
        <v>60</v>
      </c>
      <c r="C9" s="15" t="s">
        <v>72</v>
      </c>
      <c r="D9" s="19">
        <v>46161</v>
      </c>
      <c r="E9" s="18">
        <f>COUNTIFS('Raw Data'!$D$2:$D$201,$A9,'Raw Data'!$E$2:$E$201,$B9,'Raw Data'!$C$2:$C$201,"Registered")</f>
        <v>6</v>
      </c>
      <c r="F9" s="18">
        <v>12</v>
      </c>
      <c r="G9" s="18">
        <f t="shared" si="0"/>
        <v>6</v>
      </c>
      <c r="H9" s="18" t="str">
        <f t="shared" si="1"/>
        <v>Open</v>
      </c>
    </row>
    <row r="10" spans="1:8" x14ac:dyDescent="0.3">
      <c r="A10" s="15" t="s">
        <v>34</v>
      </c>
      <c r="B10" s="18" t="s">
        <v>53</v>
      </c>
      <c r="C10" s="15" t="s">
        <v>72</v>
      </c>
      <c r="D10" s="19">
        <v>46164</v>
      </c>
      <c r="E10" s="18">
        <f>COUNTIFS('Raw Data'!$D$2:$D$201,$A10,'Raw Data'!$E$2:$E$201,$B10,'Raw Data'!$C$2:$C$201,"Registered")</f>
        <v>7</v>
      </c>
      <c r="F10" s="18">
        <v>12</v>
      </c>
      <c r="G10" s="18">
        <f t="shared" si="0"/>
        <v>5</v>
      </c>
      <c r="H10" s="18" t="str">
        <f t="shared" si="1"/>
        <v>Open</v>
      </c>
    </row>
    <row r="11" spans="1:8" x14ac:dyDescent="0.3">
      <c r="A11" s="15" t="s">
        <v>34</v>
      </c>
      <c r="B11" s="18" t="s">
        <v>69</v>
      </c>
      <c r="C11" s="15" t="s">
        <v>72</v>
      </c>
      <c r="D11" s="19">
        <v>46167</v>
      </c>
      <c r="E11" s="18">
        <f>COUNTIFS('Raw Data'!$D$2:$D$201,$A11,'Raw Data'!$E$2:$E$201,$B11,'Raw Data'!$C$2:$C$201,"Registered")</f>
        <v>13</v>
      </c>
      <c r="F11" s="18">
        <v>12</v>
      </c>
      <c r="G11" s="18">
        <f>MAX(0,F4-E4)</f>
        <v>5</v>
      </c>
      <c r="H11" s="18" t="str">
        <f>IF(E4&gt;F4,"Over Capacity",IF(E4=F4,"Full",IF(G4&lt;=2,"Filling Fast","Open")))</f>
        <v>Open</v>
      </c>
    </row>
    <row r="12" spans="1:8" x14ac:dyDescent="0.3">
      <c r="A12" s="15" t="s">
        <v>35</v>
      </c>
      <c r="B12" s="18" t="s">
        <v>63</v>
      </c>
      <c r="C12" s="15" t="s">
        <v>64</v>
      </c>
      <c r="D12" s="19">
        <v>46170</v>
      </c>
      <c r="E12" s="18">
        <f>COUNTIFS('Raw Data'!$D$2:$D$201,$A12,'Raw Data'!$E$2:$E$201,$B12,'Raw Data'!$C$2:$C$201,"Registered")</f>
        <v>7</v>
      </c>
      <c r="F12" s="18">
        <v>12</v>
      </c>
      <c r="G12" s="18">
        <f>MAX(0,F5-E5)</f>
        <v>8</v>
      </c>
      <c r="H12" s="18" t="str">
        <f t="shared" ref="H12:H27" si="2">IF(E5&gt;F5,"Over Capacity",IF(E5=F5,"Full",IF(G5&lt;=2,"Filling Fast","Open")))</f>
        <v>Open</v>
      </c>
    </row>
    <row r="13" spans="1:8" x14ac:dyDescent="0.3">
      <c r="A13" s="15" t="s">
        <v>35</v>
      </c>
      <c r="B13" s="18" t="s">
        <v>60</v>
      </c>
      <c r="C13" s="15" t="s">
        <v>64</v>
      </c>
      <c r="D13" s="19">
        <v>46173</v>
      </c>
      <c r="E13" s="18">
        <f>COUNTIFS('Raw Data'!$D$2:$D$201,$A13,'Raw Data'!$E$2:$E$201,$B13,'Raw Data'!$C$2:$C$201,"Registered")</f>
        <v>1</v>
      </c>
      <c r="F13" s="18">
        <v>12</v>
      </c>
      <c r="G13" s="18">
        <f t="shared" ref="G12:G27" si="3">MAX(0,F6-E6)</f>
        <v>5</v>
      </c>
      <c r="H13" s="18" t="str">
        <f t="shared" si="2"/>
        <v>Open</v>
      </c>
    </row>
    <row r="14" spans="1:8" x14ac:dyDescent="0.3">
      <c r="A14" s="15" t="s">
        <v>35</v>
      </c>
      <c r="B14" s="18" t="s">
        <v>53</v>
      </c>
      <c r="C14" s="15" t="s">
        <v>64</v>
      </c>
      <c r="D14" s="19">
        <v>46176</v>
      </c>
      <c r="E14" s="18">
        <f>COUNTIFS('Raw Data'!$D$2:$D$201,$A14,'Raw Data'!$E$2:$E$201,$B14,'Raw Data'!$C$2:$C$201,"Registered")</f>
        <v>8</v>
      </c>
      <c r="F14" s="18">
        <v>12</v>
      </c>
      <c r="G14" s="18">
        <f t="shared" si="3"/>
        <v>8</v>
      </c>
      <c r="H14" s="18" t="str">
        <f t="shared" si="2"/>
        <v>Open</v>
      </c>
    </row>
    <row r="15" spans="1:8" x14ac:dyDescent="0.3">
      <c r="A15" s="15" t="s">
        <v>35</v>
      </c>
      <c r="B15" s="18" t="s">
        <v>69</v>
      </c>
      <c r="C15" s="15" t="s">
        <v>64</v>
      </c>
      <c r="D15" s="19">
        <v>46179</v>
      </c>
      <c r="E15" s="18">
        <f>COUNTIFS('Raw Data'!$D$2:$D$201,$A15,'Raw Data'!$E$2:$E$201,$B15,'Raw Data'!$C$2:$C$201,"Registered")</f>
        <v>3</v>
      </c>
      <c r="F15" s="18">
        <v>12</v>
      </c>
      <c r="G15" s="18">
        <f t="shared" si="3"/>
        <v>4</v>
      </c>
      <c r="H15" s="18" t="str">
        <f t="shared" si="2"/>
        <v>Open</v>
      </c>
    </row>
    <row r="16" spans="1:8" x14ac:dyDescent="0.3">
      <c r="A16" s="15" t="s">
        <v>36</v>
      </c>
      <c r="B16" s="18" t="s">
        <v>63</v>
      </c>
      <c r="C16" s="15" t="s">
        <v>112</v>
      </c>
      <c r="D16" s="19">
        <v>46182</v>
      </c>
      <c r="E16" s="18">
        <f>COUNTIFS('Raw Data'!$D$2:$D$201,$A16,'Raw Data'!$E$2:$E$201,$B16,'Raw Data'!$C$2:$C$201,"Registered")</f>
        <v>7</v>
      </c>
      <c r="F16" s="18">
        <v>12</v>
      </c>
      <c r="G16" s="18">
        <f t="shared" si="3"/>
        <v>6</v>
      </c>
      <c r="H16" s="18" t="str">
        <f t="shared" si="2"/>
        <v>Open</v>
      </c>
    </row>
    <row r="17" spans="1:8" x14ac:dyDescent="0.3">
      <c r="A17" s="15" t="s">
        <v>36</v>
      </c>
      <c r="B17" s="18" t="s">
        <v>60</v>
      </c>
      <c r="C17" s="15" t="s">
        <v>112</v>
      </c>
      <c r="D17" s="19">
        <v>46185</v>
      </c>
      <c r="E17" s="18">
        <f>COUNTIFS('Raw Data'!$D$2:$D$201,$A17,'Raw Data'!$E$2:$E$201,$B17,'Raw Data'!$C$2:$C$201,"Registered")</f>
        <v>10</v>
      </c>
      <c r="F17" s="18">
        <v>12</v>
      </c>
      <c r="G17" s="18">
        <f t="shared" si="3"/>
        <v>5</v>
      </c>
      <c r="H17" s="18" t="str">
        <f t="shared" si="2"/>
        <v>Open</v>
      </c>
    </row>
    <row r="18" spans="1:8" x14ac:dyDescent="0.3">
      <c r="A18" s="15" t="s">
        <v>36</v>
      </c>
      <c r="B18" s="18" t="s">
        <v>53</v>
      </c>
      <c r="C18" s="15" t="s">
        <v>112</v>
      </c>
      <c r="D18" s="19">
        <v>46188</v>
      </c>
      <c r="E18" s="18">
        <f>COUNTIFS('Raw Data'!$D$2:$D$201,$A18,'Raw Data'!$E$2:$E$201,$B18,'Raw Data'!$C$2:$C$201,"Registered")</f>
        <v>10</v>
      </c>
      <c r="F18" s="18">
        <v>12</v>
      </c>
      <c r="G18" s="18">
        <f t="shared" si="3"/>
        <v>0</v>
      </c>
      <c r="H18" s="18" t="str">
        <f t="shared" si="2"/>
        <v>Over Capacity</v>
      </c>
    </row>
    <row r="19" spans="1:8" x14ac:dyDescent="0.3">
      <c r="A19" s="15" t="s">
        <v>36</v>
      </c>
      <c r="B19" s="18" t="s">
        <v>69</v>
      </c>
      <c r="C19" s="15" t="s">
        <v>112</v>
      </c>
      <c r="D19" s="19">
        <v>46191</v>
      </c>
      <c r="E19" s="18">
        <f>COUNTIFS('Raw Data'!$D$2:$D$201,$A19,'Raw Data'!$E$2:$E$201,$B19,'Raw Data'!$C$2:$C$201,"Registered")</f>
        <v>3</v>
      </c>
      <c r="F19" s="18">
        <v>12</v>
      </c>
      <c r="G19" s="18">
        <f t="shared" si="3"/>
        <v>5</v>
      </c>
      <c r="H19" s="18" t="str">
        <f t="shared" si="2"/>
        <v>Open</v>
      </c>
    </row>
    <row r="20" spans="1:8" x14ac:dyDescent="0.3">
      <c r="A20" s="15" t="s">
        <v>37</v>
      </c>
      <c r="B20" s="18" t="s">
        <v>63</v>
      </c>
      <c r="C20" s="15" t="s">
        <v>54</v>
      </c>
      <c r="D20" s="19">
        <v>46194</v>
      </c>
      <c r="E20" s="18">
        <f>COUNTIFS('Raw Data'!$D$2:$D$201,$A20,'Raw Data'!$E$2:$E$201,$B20,'Raw Data'!$C$2:$C$201,"Registered")</f>
        <v>5</v>
      </c>
      <c r="F20" s="18">
        <v>12</v>
      </c>
      <c r="G20" s="18">
        <f t="shared" si="3"/>
        <v>11</v>
      </c>
      <c r="H20" s="18" t="str">
        <f t="shared" si="2"/>
        <v>Open</v>
      </c>
    </row>
    <row r="21" spans="1:8" x14ac:dyDescent="0.3">
      <c r="A21" s="15" t="s">
        <v>37</v>
      </c>
      <c r="B21" s="18" t="s">
        <v>60</v>
      </c>
      <c r="C21" s="15" t="s">
        <v>54</v>
      </c>
      <c r="D21" s="19">
        <v>46197</v>
      </c>
      <c r="E21" s="18">
        <f>COUNTIFS('Raw Data'!$D$2:$D$201,$A21,'Raw Data'!$E$2:$E$201,$B21,'Raw Data'!$C$2:$C$201,"Registered")</f>
        <v>9</v>
      </c>
      <c r="F21" s="18">
        <v>12</v>
      </c>
      <c r="G21" s="18">
        <f t="shared" si="3"/>
        <v>4</v>
      </c>
      <c r="H21" s="18" t="str">
        <f t="shared" si="2"/>
        <v>Open</v>
      </c>
    </row>
    <row r="22" spans="1:8" x14ac:dyDescent="0.3">
      <c r="A22" s="15" t="s">
        <v>37</v>
      </c>
      <c r="B22" s="18" t="s">
        <v>53</v>
      </c>
      <c r="C22" s="15" t="s">
        <v>54</v>
      </c>
      <c r="D22" s="19">
        <v>46200</v>
      </c>
      <c r="E22" s="18">
        <f>COUNTIFS('Raw Data'!$D$2:$D$201,$A22,'Raw Data'!$E$2:$E$201,$B22,'Raw Data'!$C$2:$C$201,"Registered")</f>
        <v>3</v>
      </c>
      <c r="F22" s="18">
        <v>12</v>
      </c>
      <c r="G22" s="18">
        <f t="shared" si="3"/>
        <v>9</v>
      </c>
      <c r="H22" s="18" t="str">
        <f t="shared" si="2"/>
        <v>Open</v>
      </c>
    </row>
    <row r="23" spans="1:8" x14ac:dyDescent="0.3">
      <c r="A23" s="15" t="s">
        <v>37</v>
      </c>
      <c r="B23" s="18" t="s">
        <v>69</v>
      </c>
      <c r="C23" s="15" t="s">
        <v>54</v>
      </c>
      <c r="D23" s="19">
        <v>46203</v>
      </c>
      <c r="E23" s="18">
        <f>COUNTIFS('Raw Data'!$D$2:$D$201,$A23,'Raw Data'!$E$2:$E$201,$B23,'Raw Data'!$C$2:$C$201,"Registered")</f>
        <v>5</v>
      </c>
      <c r="F23" s="18">
        <v>12</v>
      </c>
      <c r="G23" s="18">
        <f t="shared" si="3"/>
        <v>5</v>
      </c>
      <c r="H23" s="18" t="str">
        <f t="shared" si="2"/>
        <v>Open</v>
      </c>
    </row>
    <row r="24" spans="1:8" x14ac:dyDescent="0.3">
      <c r="A24" s="15" t="s">
        <v>38</v>
      </c>
      <c r="B24" s="18" t="s">
        <v>63</v>
      </c>
      <c r="C24" s="15" t="s">
        <v>88</v>
      </c>
      <c r="D24" s="19">
        <v>46206</v>
      </c>
      <c r="E24" s="18">
        <f>COUNTIFS('Raw Data'!$D$2:$D$201,$A24,'Raw Data'!$E$2:$E$201,$B24,'Raw Data'!$C$2:$C$201,"Registered")</f>
        <v>7</v>
      </c>
      <c r="F24" s="18">
        <v>12</v>
      </c>
      <c r="G24" s="18">
        <f t="shared" si="3"/>
        <v>2</v>
      </c>
      <c r="H24" s="18" t="str">
        <f t="shared" si="2"/>
        <v>Open</v>
      </c>
    </row>
    <row r="25" spans="1:8" x14ac:dyDescent="0.3">
      <c r="A25" s="15" t="s">
        <v>38</v>
      </c>
      <c r="B25" s="18" t="s">
        <v>60</v>
      </c>
      <c r="C25" s="15" t="s">
        <v>88</v>
      </c>
      <c r="D25" s="19">
        <v>46209</v>
      </c>
      <c r="E25" s="18">
        <f>COUNTIFS('Raw Data'!$D$2:$D$201,$A25,'Raw Data'!$E$2:$E$201,$B25,'Raw Data'!$C$2:$C$201,"Registered")</f>
        <v>11</v>
      </c>
      <c r="F25" s="18">
        <v>12</v>
      </c>
      <c r="G25" s="18">
        <f t="shared" si="3"/>
        <v>2</v>
      </c>
      <c r="H25" s="18" t="str">
        <f t="shared" si="2"/>
        <v>Filling Fast</v>
      </c>
    </row>
    <row r="26" spans="1:8" x14ac:dyDescent="0.3">
      <c r="A26" s="15" t="s">
        <v>38</v>
      </c>
      <c r="B26" s="18" t="s">
        <v>53</v>
      </c>
      <c r="C26" s="15" t="s">
        <v>88</v>
      </c>
      <c r="D26" s="19">
        <v>46212</v>
      </c>
      <c r="E26" s="18">
        <f>COUNTIFS('Raw Data'!$D$2:$D$201,$A26,'Raw Data'!$E$2:$E$201,$B26,'Raw Data'!$C$2:$C$201,"Registered")</f>
        <v>5</v>
      </c>
      <c r="F26" s="18">
        <v>12</v>
      </c>
      <c r="G26" s="18">
        <f t="shared" si="3"/>
        <v>9</v>
      </c>
      <c r="H26" s="18" t="str">
        <f t="shared" si="2"/>
        <v>Open</v>
      </c>
    </row>
    <row r="27" spans="1:8" x14ac:dyDescent="0.3">
      <c r="A27" s="15" t="s">
        <v>38</v>
      </c>
      <c r="B27" s="18" t="s">
        <v>69</v>
      </c>
      <c r="C27" s="15" t="s">
        <v>88</v>
      </c>
      <c r="D27" s="19">
        <v>46215</v>
      </c>
      <c r="E27" s="18">
        <f>COUNTIFS('Raw Data'!$D$2:$D$201,$A27,'Raw Data'!$E$2:$E$201,$B27,'Raw Data'!$C$2:$C$201,"Registered")</f>
        <v>8</v>
      </c>
      <c r="F27" s="18">
        <v>12</v>
      </c>
      <c r="G27" s="18">
        <f t="shared" si="3"/>
        <v>7</v>
      </c>
      <c r="H27" s="18" t="str">
        <f t="shared" si="2"/>
        <v>Open</v>
      </c>
    </row>
    <row r="29" spans="1:8" x14ac:dyDescent="0.3">
      <c r="A29" s="1" t="s">
        <v>481</v>
      </c>
      <c r="B29" s="1"/>
      <c r="C29" s="1"/>
      <c r="D29" s="1"/>
      <c r="E29" s="1"/>
      <c r="F29" s="1"/>
      <c r="G29" s="1"/>
      <c r="H29" s="1"/>
    </row>
  </sheetData>
  <mergeCells count="2">
    <mergeCell ref="A1:H1"/>
    <mergeCell ref="A29:H29"/>
  </mergeCells>
  <conditionalFormatting sqref="H4:H27">
    <cfRule type="cellIs" dxfId="17" priority="2" operator="equal">
      <formula>"Full"</formula>
    </cfRule>
    <cfRule type="cellIs" dxfId="16" priority="3" operator="equal">
      <formula>"Filling Fast"</formula>
    </cfRule>
    <cfRule type="cellIs" dxfId="15" priority="4" operator="equal">
      <formula>"Open"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395"/>
  </sheetPr>
  <dimension ref="A1:G10"/>
  <sheetViews>
    <sheetView zoomScaleNormal="100" workbookViewId="0">
      <pane ySplit="3" topLeftCell="A4" activePane="bottomLeft" state="frozen"/>
      <selection pane="bottomLeft" sqref="A1:G1"/>
    </sheetView>
  </sheetViews>
  <sheetFormatPr defaultColWidth="8.6640625" defaultRowHeight="14.4" x14ac:dyDescent="0.3"/>
  <cols>
    <col min="1" max="1" width="24" customWidth="1"/>
    <col min="2" max="3" width="10" customWidth="1"/>
    <col min="4" max="4" width="16" customWidth="1"/>
    <col min="5" max="5" width="15" customWidth="1"/>
    <col min="6" max="6" width="13" customWidth="1"/>
    <col min="7" max="7" width="17" customWidth="1"/>
  </cols>
  <sheetData>
    <row r="1" spans="1:7" ht="24" customHeight="1" x14ac:dyDescent="0.4">
      <c r="A1" s="8" t="s">
        <v>482</v>
      </c>
      <c r="B1" s="8"/>
      <c r="C1" s="8"/>
      <c r="D1" s="8"/>
      <c r="E1" s="8"/>
      <c r="F1" s="8"/>
      <c r="G1" s="8"/>
    </row>
    <row r="3" spans="1:7" x14ac:dyDescent="0.3">
      <c r="A3" s="14" t="s">
        <v>30</v>
      </c>
      <c r="B3" s="14" t="s">
        <v>55</v>
      </c>
      <c r="C3" s="14" t="s">
        <v>89</v>
      </c>
      <c r="D3" s="14" t="s">
        <v>483</v>
      </c>
      <c r="E3" s="14" t="s">
        <v>25</v>
      </c>
      <c r="F3" s="14" t="s">
        <v>484</v>
      </c>
      <c r="G3" s="14" t="s">
        <v>485</v>
      </c>
    </row>
    <row r="4" spans="1:7" x14ac:dyDescent="0.3">
      <c r="A4" s="15" t="s">
        <v>33</v>
      </c>
      <c r="B4" s="18">
        <f>COUNTIFS('Raw Data'!$D$2:$D$201,$A4,'Raw Data'!$H$2:$H$201,"Present")</f>
        <v>20</v>
      </c>
      <c r="C4" s="18">
        <f>COUNTIFS('Raw Data'!$D$2:$D$201,$A4,'Raw Data'!$H$2:$H$201,"Absent")</f>
        <v>2</v>
      </c>
      <c r="D4" s="18">
        <f>COUNTIFS('Raw Data'!$D$2:$D$201,$A4,'Raw Data'!$C$2:$C$201,"Registered")</f>
        <v>22</v>
      </c>
      <c r="E4" s="16">
        <f t="shared" ref="E4:E10" si="0">IFERROR(B4/D4,0)</f>
        <v>0.90909090909090906</v>
      </c>
      <c r="F4" s="16">
        <f t="shared" ref="F4:F10" si="1">IFERROR(C4/D4,0)</f>
        <v>9.0909090909090912E-2</v>
      </c>
      <c r="G4" s="18" t="str">
        <f t="shared" ref="G4:G9" si="2">IF(D4=0,"No Data",IF(E4&gt;=0.9,"Healthy",IF(E4&gt;=0.8,"Monitor","Action Required")))</f>
        <v>Healthy</v>
      </c>
    </row>
    <row r="5" spans="1:7" x14ac:dyDescent="0.3">
      <c r="A5" s="15" t="s">
        <v>34</v>
      </c>
      <c r="B5" s="18">
        <f>COUNTIFS('Raw Data'!$D$2:$D$201,$A5,'Raw Data'!$H$2:$H$201,"Present")</f>
        <v>32</v>
      </c>
      <c r="C5" s="18">
        <f>COUNTIFS('Raw Data'!$D$2:$D$201,$A5,'Raw Data'!$H$2:$H$201,"Absent")</f>
        <v>2</v>
      </c>
      <c r="D5" s="18">
        <f>COUNTIFS('Raw Data'!$D$2:$D$201,$A5,'Raw Data'!$C$2:$C$201,"Registered")</f>
        <v>34</v>
      </c>
      <c r="E5" s="16">
        <f t="shared" si="0"/>
        <v>0.94117647058823528</v>
      </c>
      <c r="F5" s="16">
        <f t="shared" si="1"/>
        <v>5.8823529411764705E-2</v>
      </c>
      <c r="G5" s="18" t="str">
        <f t="shared" si="2"/>
        <v>Healthy</v>
      </c>
    </row>
    <row r="6" spans="1:7" x14ac:dyDescent="0.3">
      <c r="A6" s="15" t="s">
        <v>35</v>
      </c>
      <c r="B6" s="18">
        <f>COUNTIFS('Raw Data'!$D$2:$D$201,$A6,'Raw Data'!$H$2:$H$201,"Present")</f>
        <v>15</v>
      </c>
      <c r="C6" s="18">
        <f>COUNTIFS('Raw Data'!$D$2:$D$201,$A6,'Raw Data'!$H$2:$H$201,"Absent")</f>
        <v>4</v>
      </c>
      <c r="D6" s="18">
        <f>COUNTIFS('Raw Data'!$D$2:$D$201,$A6,'Raw Data'!$C$2:$C$201,"Registered")</f>
        <v>19</v>
      </c>
      <c r="E6" s="16">
        <f t="shared" si="0"/>
        <v>0.78947368421052633</v>
      </c>
      <c r="F6" s="16">
        <f t="shared" si="1"/>
        <v>0.21052631578947367</v>
      </c>
      <c r="G6" s="18" t="str">
        <f t="shared" si="2"/>
        <v>Action Required</v>
      </c>
    </row>
    <row r="7" spans="1:7" x14ac:dyDescent="0.3">
      <c r="A7" s="15" t="s">
        <v>36</v>
      </c>
      <c r="B7" s="18">
        <f>COUNTIFS('Raw Data'!$D$2:$D$201,$A7,'Raw Data'!$H$2:$H$201,"Present")</f>
        <v>24</v>
      </c>
      <c r="C7" s="18">
        <f>COUNTIFS('Raw Data'!$D$2:$D$201,$A7,'Raw Data'!$H$2:$H$201,"Absent")</f>
        <v>6</v>
      </c>
      <c r="D7" s="18">
        <f>COUNTIFS('Raw Data'!$D$2:$D$201,$A7,'Raw Data'!$C$2:$C$201,"Registered")</f>
        <v>30</v>
      </c>
      <c r="E7" s="16">
        <f t="shared" si="0"/>
        <v>0.8</v>
      </c>
      <c r="F7" s="16">
        <f t="shared" si="1"/>
        <v>0.2</v>
      </c>
      <c r="G7" s="18" t="str">
        <f t="shared" si="2"/>
        <v>Monitor</v>
      </c>
    </row>
    <row r="8" spans="1:7" x14ac:dyDescent="0.3">
      <c r="A8" s="15" t="s">
        <v>37</v>
      </c>
      <c r="B8" s="18">
        <f>COUNTIFS('Raw Data'!$D$2:$D$201,$A8,'Raw Data'!$H$2:$H$201,"Present")</f>
        <v>18</v>
      </c>
      <c r="C8" s="18">
        <f>COUNTIFS('Raw Data'!$D$2:$D$201,$A8,'Raw Data'!$H$2:$H$201,"Absent")</f>
        <v>4</v>
      </c>
      <c r="D8" s="18">
        <f>COUNTIFS('Raw Data'!$D$2:$D$201,$A8,'Raw Data'!$C$2:$C$201,"Registered")</f>
        <v>22</v>
      </c>
      <c r="E8" s="16">
        <f t="shared" si="0"/>
        <v>0.81818181818181823</v>
      </c>
      <c r="F8" s="16">
        <f t="shared" si="1"/>
        <v>0.18181818181818182</v>
      </c>
      <c r="G8" s="18" t="str">
        <f t="shared" si="2"/>
        <v>Monitor</v>
      </c>
    </row>
    <row r="9" spans="1:7" x14ac:dyDescent="0.3">
      <c r="A9" s="15" t="s">
        <v>38</v>
      </c>
      <c r="B9" s="18">
        <f>COUNTIFS('Raw Data'!$D$2:$D$201,$A9,'Raw Data'!$H$2:$H$201,"Present")</f>
        <v>24</v>
      </c>
      <c r="C9" s="18">
        <f>COUNTIFS('Raw Data'!$D$2:$D$201,$A9,'Raw Data'!$H$2:$H$201,"Absent")</f>
        <v>7</v>
      </c>
      <c r="D9" s="18">
        <f>COUNTIFS('Raw Data'!$D$2:$D$201,$A9,'Raw Data'!$C$2:$C$201,"Registered")</f>
        <v>31</v>
      </c>
      <c r="E9" s="16">
        <f t="shared" si="0"/>
        <v>0.77419354838709675</v>
      </c>
      <c r="F9" s="16">
        <f t="shared" si="1"/>
        <v>0.22580645161290322</v>
      </c>
      <c r="G9" s="18" t="str">
        <f t="shared" si="2"/>
        <v>Action Required</v>
      </c>
    </row>
    <row r="10" spans="1:7" x14ac:dyDescent="0.3">
      <c r="A10" s="20" t="s">
        <v>474</v>
      </c>
      <c r="B10" s="21">
        <f>SUM(B4:B9)</f>
        <v>133</v>
      </c>
      <c r="C10" s="21">
        <f>SUM(C4:C9)</f>
        <v>25</v>
      </c>
      <c r="D10" s="21">
        <f>SUM(D4:D9)</f>
        <v>158</v>
      </c>
      <c r="E10" s="22">
        <f t="shared" si="0"/>
        <v>0.84177215189873422</v>
      </c>
      <c r="F10" s="22">
        <f t="shared" si="1"/>
        <v>0.15822784810126583</v>
      </c>
      <c r="G10" s="21" t="str">
        <f>IF(E10&gt;=0.9,"Healthy",IF(E10&gt;=0.8,"Monitor","Action Required"))</f>
        <v>Monitor</v>
      </c>
    </row>
  </sheetData>
  <mergeCells count="1">
    <mergeCell ref="A1:G1"/>
  </mergeCells>
  <conditionalFormatting sqref="G4:G10">
    <cfRule type="cellIs" dxfId="14" priority="2" operator="equal">
      <formula>"Healthy"</formula>
    </cfRule>
    <cfRule type="cellIs" dxfId="13" priority="3" operator="equal">
      <formula>"Monitor"</formula>
    </cfRule>
    <cfRule type="cellIs" dxfId="12" priority="4" operator="equal">
      <formula>"Action Required"</formula>
    </cfRule>
    <cfRule type="cellIs" dxfId="11" priority="5" operator="equal">
      <formula>"Positive"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5395"/>
  </sheetPr>
  <dimension ref="A1:I10"/>
  <sheetViews>
    <sheetView zoomScaleNormal="100" workbookViewId="0">
      <pane ySplit="3" topLeftCell="A4" activePane="bottomLeft" state="frozen"/>
      <selection pane="bottomLeft" sqref="A1:I1"/>
    </sheetView>
  </sheetViews>
  <sheetFormatPr defaultColWidth="8.6640625" defaultRowHeight="14.4" x14ac:dyDescent="0.3"/>
  <cols>
    <col min="1" max="1" width="24" customWidth="1"/>
    <col min="2" max="2" width="16.21875" customWidth="1"/>
    <col min="3" max="3" width="19.5546875" customWidth="1"/>
    <col min="4" max="4" width="13.6640625" customWidth="1"/>
    <col min="5" max="5" width="22.109375" customWidth="1"/>
    <col min="6" max="6" width="24.5546875" customWidth="1"/>
    <col min="7" max="7" width="23.33203125" customWidth="1"/>
    <col min="8" max="8" width="26.88671875" customWidth="1"/>
    <col min="9" max="9" width="23.6640625" customWidth="1"/>
  </cols>
  <sheetData>
    <row r="1" spans="1:9" ht="24" customHeight="1" x14ac:dyDescent="0.4">
      <c r="A1" s="8" t="s">
        <v>486</v>
      </c>
      <c r="B1" s="8"/>
      <c r="C1" s="8"/>
      <c r="D1" s="8"/>
      <c r="E1" s="8"/>
      <c r="F1" s="8"/>
      <c r="G1" s="8"/>
      <c r="H1" s="8"/>
      <c r="I1" s="8"/>
    </row>
    <row r="3" spans="1:9" x14ac:dyDescent="0.3">
      <c r="A3" s="14" t="s">
        <v>30</v>
      </c>
      <c r="B3" s="14" t="s">
        <v>56</v>
      </c>
      <c r="C3" s="14" t="s">
        <v>65</v>
      </c>
      <c r="D3" s="14" t="s">
        <v>75</v>
      </c>
      <c r="E3" s="14" t="s">
        <v>483</v>
      </c>
      <c r="F3" s="14" t="s">
        <v>26</v>
      </c>
      <c r="G3" s="14" t="s">
        <v>487</v>
      </c>
      <c r="H3" s="14" t="s">
        <v>488</v>
      </c>
      <c r="I3" s="14" t="s">
        <v>489</v>
      </c>
    </row>
    <row r="4" spans="1:9" x14ac:dyDescent="0.3">
      <c r="A4" s="15" t="s">
        <v>33</v>
      </c>
      <c r="B4" s="18">
        <f>COUNTIFS('Raw Data'!$D$2:$D$201,$A4,'Raw Data'!$I$2:$I$201,"Completed")</f>
        <v>18</v>
      </c>
      <c r="C4" s="18">
        <f>COUNTIFS('Raw Data'!$D$2:$D$201,$A4,'Raw Data'!$I$2:$I$201,"In Progress")</f>
        <v>1</v>
      </c>
      <c r="D4" s="18">
        <f>COUNTIFS('Raw Data'!$D$2:$D$201,$A4,'Raw Data'!$I$2:$I$201,"Dropped")</f>
        <v>1</v>
      </c>
      <c r="E4" s="18">
        <f>COUNTIFS('Raw Data'!$D$2:$D$201,$A4,'Raw Data'!$C$2:$C$201,"Registered")</f>
        <v>22</v>
      </c>
      <c r="F4" s="16">
        <f t="shared" ref="F4:F10" si="0">IFERROR(B4/E4,0)</f>
        <v>0.81818181818181823</v>
      </c>
      <c r="G4" s="17">
        <f>IFERROR(AVERAGEIFS('Raw Data'!$J$2:$J$201,'Raw Data'!$D$2:$D$201,$A4,'Raw Data'!$I$2:$I$201,"Completed"),0)</f>
        <v>4.0555555555555554</v>
      </c>
      <c r="H4" s="18" t="str">
        <f t="shared" ref="H4:H9" si="1">IF(E4=0,"No Data",IF(F4&gt;=0.8,"Healthy",IF(F4&gt;=0.6,"Monitor","Action Required")))</f>
        <v>Healthy</v>
      </c>
      <c r="I4" s="18" t="str">
        <f t="shared" ref="I4:I9" si="2">IF(B4=0,"No Data",IF(G4&gt;=4,"Positive",IF(G4&gt;=3,"Monitor","Action Required")))</f>
        <v>Positive</v>
      </c>
    </row>
    <row r="5" spans="1:9" x14ac:dyDescent="0.3">
      <c r="A5" s="15" t="s">
        <v>34</v>
      </c>
      <c r="B5" s="18">
        <f>COUNTIFS('Raw Data'!$D$2:$D$201,$A5,'Raw Data'!$I$2:$I$201,"Completed")</f>
        <v>22</v>
      </c>
      <c r="C5" s="18">
        <f>COUNTIFS('Raw Data'!$D$2:$D$201,$A5,'Raw Data'!$I$2:$I$201,"In Progress")</f>
        <v>4</v>
      </c>
      <c r="D5" s="18">
        <f>COUNTIFS('Raw Data'!$D$2:$D$201,$A5,'Raw Data'!$I$2:$I$201,"Dropped")</f>
        <v>6</v>
      </c>
      <c r="E5" s="18">
        <f>COUNTIFS('Raw Data'!$D$2:$D$201,$A5,'Raw Data'!$C$2:$C$201,"Registered")</f>
        <v>34</v>
      </c>
      <c r="F5" s="16">
        <f t="shared" si="0"/>
        <v>0.6470588235294118</v>
      </c>
      <c r="G5" s="17">
        <f>IFERROR(AVERAGEIFS('Raw Data'!$J$2:$J$201,'Raw Data'!$D$2:$D$201,$A5,'Raw Data'!$I$2:$I$201,"Completed"),0)</f>
        <v>3.9545454545454546</v>
      </c>
      <c r="H5" s="18" t="str">
        <f t="shared" si="1"/>
        <v>Monitor</v>
      </c>
      <c r="I5" s="18" t="str">
        <f t="shared" si="2"/>
        <v>Monitor</v>
      </c>
    </row>
    <row r="6" spans="1:9" x14ac:dyDescent="0.3">
      <c r="A6" s="15" t="s">
        <v>35</v>
      </c>
      <c r="B6" s="18">
        <f>COUNTIFS('Raw Data'!$D$2:$D$201,$A6,'Raw Data'!$I$2:$I$201,"Completed")</f>
        <v>10</v>
      </c>
      <c r="C6" s="18">
        <f>COUNTIFS('Raw Data'!$D$2:$D$201,$A6,'Raw Data'!$I$2:$I$201,"In Progress")</f>
        <v>4</v>
      </c>
      <c r="D6" s="18">
        <f>COUNTIFS('Raw Data'!$D$2:$D$201,$A6,'Raw Data'!$I$2:$I$201,"Dropped")</f>
        <v>1</v>
      </c>
      <c r="E6" s="18">
        <f>COUNTIFS('Raw Data'!$D$2:$D$201,$A6,'Raw Data'!$C$2:$C$201,"Registered")</f>
        <v>19</v>
      </c>
      <c r="F6" s="16">
        <f t="shared" si="0"/>
        <v>0.52631578947368418</v>
      </c>
      <c r="G6" s="17">
        <f>IFERROR(AVERAGEIFS('Raw Data'!$J$2:$J$201,'Raw Data'!$D$2:$D$201,$A6,'Raw Data'!$I$2:$I$201,"Completed"),0)</f>
        <v>4.2</v>
      </c>
      <c r="H6" s="18" t="str">
        <f t="shared" si="1"/>
        <v>Action Required</v>
      </c>
      <c r="I6" s="18" t="str">
        <f t="shared" si="2"/>
        <v>Positive</v>
      </c>
    </row>
    <row r="7" spans="1:9" x14ac:dyDescent="0.3">
      <c r="A7" s="15" t="s">
        <v>36</v>
      </c>
      <c r="B7" s="18">
        <f>COUNTIFS('Raw Data'!$D$2:$D$201,$A7,'Raw Data'!$I$2:$I$201,"Completed")</f>
        <v>17</v>
      </c>
      <c r="C7" s="18">
        <f>COUNTIFS('Raw Data'!$D$2:$D$201,$A7,'Raw Data'!$I$2:$I$201,"In Progress")</f>
        <v>4</v>
      </c>
      <c r="D7" s="18">
        <f>COUNTIFS('Raw Data'!$D$2:$D$201,$A7,'Raw Data'!$I$2:$I$201,"Dropped")</f>
        <v>3</v>
      </c>
      <c r="E7" s="18">
        <f>COUNTIFS('Raw Data'!$D$2:$D$201,$A7,'Raw Data'!$C$2:$C$201,"Registered")</f>
        <v>30</v>
      </c>
      <c r="F7" s="16">
        <f t="shared" si="0"/>
        <v>0.56666666666666665</v>
      </c>
      <c r="G7" s="17">
        <f>IFERROR(AVERAGEIFS('Raw Data'!$J$2:$J$201,'Raw Data'!$D$2:$D$201,$A7,'Raw Data'!$I$2:$I$201,"Completed"),0)</f>
        <v>4.2352941176470589</v>
      </c>
      <c r="H7" s="18" t="str">
        <f t="shared" si="1"/>
        <v>Action Required</v>
      </c>
      <c r="I7" s="18" t="str">
        <f t="shared" si="2"/>
        <v>Positive</v>
      </c>
    </row>
    <row r="8" spans="1:9" x14ac:dyDescent="0.3">
      <c r="A8" s="15" t="s">
        <v>37</v>
      </c>
      <c r="B8" s="18">
        <f>COUNTIFS('Raw Data'!$D$2:$D$201,$A8,'Raw Data'!$I$2:$I$201,"Completed")</f>
        <v>12</v>
      </c>
      <c r="C8" s="18">
        <f>COUNTIFS('Raw Data'!$D$2:$D$201,$A8,'Raw Data'!$I$2:$I$201,"In Progress")</f>
        <v>2</v>
      </c>
      <c r="D8" s="18">
        <f>COUNTIFS('Raw Data'!$D$2:$D$201,$A8,'Raw Data'!$I$2:$I$201,"Dropped")</f>
        <v>4</v>
      </c>
      <c r="E8" s="18">
        <f>COUNTIFS('Raw Data'!$D$2:$D$201,$A8,'Raw Data'!$C$2:$C$201,"Registered")</f>
        <v>22</v>
      </c>
      <c r="F8" s="16">
        <f t="shared" si="0"/>
        <v>0.54545454545454541</v>
      </c>
      <c r="G8" s="17">
        <f>IFERROR(AVERAGEIFS('Raw Data'!$J$2:$J$201,'Raw Data'!$D$2:$D$201,$A8,'Raw Data'!$I$2:$I$201,"Completed"),0)</f>
        <v>4.583333333333333</v>
      </c>
      <c r="H8" s="18" t="str">
        <f t="shared" si="1"/>
        <v>Action Required</v>
      </c>
      <c r="I8" s="18" t="str">
        <f t="shared" si="2"/>
        <v>Positive</v>
      </c>
    </row>
    <row r="9" spans="1:9" x14ac:dyDescent="0.3">
      <c r="A9" s="15" t="s">
        <v>38</v>
      </c>
      <c r="B9" s="18">
        <f>COUNTIFS('Raw Data'!$D$2:$D$201,$A9,'Raw Data'!$I$2:$I$201,"Completed")</f>
        <v>19</v>
      </c>
      <c r="C9" s="18">
        <f>COUNTIFS('Raw Data'!$D$2:$D$201,$A9,'Raw Data'!$I$2:$I$201,"In Progress")</f>
        <v>4</v>
      </c>
      <c r="D9" s="18">
        <f>COUNTIFS('Raw Data'!$D$2:$D$201,$A9,'Raw Data'!$I$2:$I$201,"Dropped")</f>
        <v>1</v>
      </c>
      <c r="E9" s="18">
        <f>COUNTIFS('Raw Data'!$D$2:$D$201,$A9,'Raw Data'!$C$2:$C$201,"Registered")</f>
        <v>31</v>
      </c>
      <c r="F9" s="16">
        <f t="shared" si="0"/>
        <v>0.61290322580645162</v>
      </c>
      <c r="G9" s="17">
        <f>IFERROR(AVERAGEIFS('Raw Data'!$J$2:$J$201,'Raw Data'!$D$2:$D$201,$A9,'Raw Data'!$I$2:$I$201,"Completed"),0)</f>
        <v>4.1052631578947372</v>
      </c>
      <c r="H9" s="18" t="str">
        <f t="shared" si="1"/>
        <v>Monitor</v>
      </c>
      <c r="I9" s="18" t="str">
        <f t="shared" si="2"/>
        <v>Positive</v>
      </c>
    </row>
    <row r="10" spans="1:9" x14ac:dyDescent="0.3">
      <c r="A10" s="20" t="s">
        <v>474</v>
      </c>
      <c r="B10" s="21">
        <f>SUM(B4:B9)</f>
        <v>98</v>
      </c>
      <c r="C10" s="21">
        <f>SUM(C4:C9)</f>
        <v>19</v>
      </c>
      <c r="D10" s="21">
        <f>SUM(D4:D9)</f>
        <v>16</v>
      </c>
      <c r="E10" s="21">
        <f>SUM(E4:E9)</f>
        <v>158</v>
      </c>
      <c r="F10" s="22">
        <f t="shared" si="0"/>
        <v>0.620253164556962</v>
      </c>
      <c r="G10" s="23">
        <f>IFERROR(AVERAGEIFS('Raw Data'!$J$2:$J$201,'Raw Data'!$I$2:$I$201,"Completed"),0)</f>
        <v>4.1530612244897958</v>
      </c>
      <c r="H10" s="21" t="str">
        <f>IF(F10&gt;=0.8,"Healthy",IF(F10&gt;=0.6,"Monitor","Action Required"))</f>
        <v>Monitor</v>
      </c>
      <c r="I10" s="21" t="str">
        <f>IF(G10&gt;=4,"Positive",IF(G10&gt;=3,"Monitor","Action Required"))</f>
        <v>Positive</v>
      </c>
    </row>
  </sheetData>
  <mergeCells count="1">
    <mergeCell ref="A1:I1"/>
  </mergeCells>
  <conditionalFormatting sqref="H4:I10">
    <cfRule type="cellIs" dxfId="10" priority="2" operator="equal">
      <formula>"Healthy"</formula>
    </cfRule>
    <cfRule type="cellIs" dxfId="9" priority="3" operator="equal">
      <formula>"Monitor"</formula>
    </cfRule>
    <cfRule type="cellIs" dxfId="8" priority="4" operator="equal">
      <formula>"Action Required"</formula>
    </cfRule>
    <cfRule type="cellIs" dxfId="7" priority="5" operator="equal">
      <formula>"Positive"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K105"/>
  <sheetViews>
    <sheetView topLeftCell="D1" zoomScaleNormal="100" workbookViewId="0">
      <pane ySplit="4" topLeftCell="A5" activePane="bottomLeft" state="frozen"/>
      <selection pane="bottomLeft" sqref="A1:K1"/>
    </sheetView>
  </sheetViews>
  <sheetFormatPr defaultColWidth="8.6640625" defaultRowHeight="14.4" x14ac:dyDescent="0.3"/>
  <cols>
    <col min="1" max="1" width="11" customWidth="1"/>
    <col min="2" max="2" width="14" customWidth="1"/>
    <col min="3" max="3" width="20" customWidth="1"/>
    <col min="4" max="4" width="22" customWidth="1"/>
    <col min="5" max="5" width="8" customWidth="1"/>
    <col min="6" max="7" width="24" customWidth="1"/>
    <col min="8" max="8" width="11" customWidth="1"/>
    <col min="9" max="9" width="18" customWidth="1"/>
    <col min="10" max="10" width="14.77734375" customWidth="1"/>
    <col min="11" max="11" width="10" customWidth="1"/>
  </cols>
  <sheetData>
    <row r="1" spans="1:11" ht="24" customHeight="1" x14ac:dyDescent="0.4">
      <c r="A1" s="8" t="s">
        <v>490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1" t="s">
        <v>491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x14ac:dyDescent="0.3">
      <c r="A4" s="14" t="s">
        <v>492</v>
      </c>
      <c r="B4" s="14" t="s">
        <v>40</v>
      </c>
      <c r="C4" s="14" t="s">
        <v>41</v>
      </c>
      <c r="D4" s="14" t="s">
        <v>30</v>
      </c>
      <c r="E4" s="14" t="s">
        <v>43</v>
      </c>
      <c r="F4" s="14" t="s">
        <v>42</v>
      </c>
      <c r="G4" s="14" t="s">
        <v>49</v>
      </c>
      <c r="H4" s="14" t="s">
        <v>493</v>
      </c>
      <c r="I4" s="14" t="s">
        <v>494</v>
      </c>
      <c r="J4" s="14" t="s">
        <v>495</v>
      </c>
      <c r="K4" s="14" t="s">
        <v>480</v>
      </c>
    </row>
    <row r="5" spans="1:11" x14ac:dyDescent="0.3">
      <c r="A5" s="18" t="str">
        <f t="shared" ref="A5:A36" si="0">"ACT-"&amp;TEXT(ROW()-4,"000")</f>
        <v>ACT-001</v>
      </c>
      <c r="B5" s="18" t="str">
        <f>IFERROR(INDEX('Raw Data'!$A$2:$A$201,MATCH(ROW()-4,'Raw Data'!$L$2:$L$201,0)),"")</f>
        <v>P003</v>
      </c>
      <c r="C5" s="15" t="str">
        <f>IFERROR(INDEX('Raw Data'!$B$2:$B$201,MATCH(ROW()-4,'Raw Data'!$L$2:$L$201,0)),"")</f>
        <v>Ishaan Rana</v>
      </c>
      <c r="D5" s="18" t="str">
        <f>IFERROR(INDEX('Raw Data'!$D$2:$D$201,MATCH(ROW()-4,'Raw Data'!$L$2:$L$201,0)),"")</f>
        <v>Communication Skills</v>
      </c>
      <c r="E5" s="18" t="str">
        <f>IFERROR(INDEX('Raw Data'!$E$2:$E$201,MATCH(ROW()-4,'Raw Data'!$L$2:$L$201,0)),"")</f>
        <v>A</v>
      </c>
      <c r="F5" s="18" t="str">
        <f>IFERROR(INDEX('Raw Data'!$C$2:$C$201,MATCH(ROW()-4,'Raw Data'!$L$2:$L$201,0)),"")</f>
        <v>Registered</v>
      </c>
      <c r="G5" s="18" t="str">
        <f>IFERROR(INDEX('Raw Data'!$K$2:$K$201,MATCH(ROW()-4,'Raw Data'!$L$2:$L$201,0)),"")</f>
        <v>Collect interim feedback</v>
      </c>
      <c r="H5" s="18" t="str">
        <f t="shared" ref="H5:H36" si="1">IF($G5="","",IF(OR($G5="Follow up on absence",$G5="Resolve waitlist",$G5="Follow up - dropped participant"),"High","Medium"))</f>
        <v>Medium</v>
      </c>
      <c r="I5" s="18" t="str">
        <f t="shared" ref="I5:I36" si="2">IF($G5="","",IF($G5="Resolve waitlist","Program Coordinator","Learning Ops"))</f>
        <v>Learning Ops</v>
      </c>
      <c r="J5" s="19">
        <f>IFERROR(INDEX('Raw Data'!$G$2:$G$201,MATCH(ROW()-4,'Raw Data'!$L$2:$L$201,0))+7,"")</f>
        <v>46177</v>
      </c>
      <c r="K5" s="18" t="str">
        <f t="shared" ref="K5:K36" si="3">IF($G5="","","Open")</f>
        <v>Open</v>
      </c>
    </row>
    <row r="6" spans="1:11" x14ac:dyDescent="0.3">
      <c r="A6" s="18" t="str">
        <f t="shared" si="0"/>
        <v>ACT-002</v>
      </c>
      <c r="B6" s="18" t="str">
        <f>IFERROR(INDEX('Raw Data'!$A$2:$A$201,MATCH(ROW()-4,'Raw Data'!$L$2:$L$201,0)),"")</f>
        <v>P005</v>
      </c>
      <c r="C6" s="15" t="str">
        <f>IFERROR(INDEX('Raw Data'!$B$2:$B$201,MATCH(ROW()-4,'Raw Data'!$L$2:$L$201,0)),"")</f>
        <v>Deepak Joshi</v>
      </c>
      <c r="D6" s="18" t="str">
        <f>IFERROR(INDEX('Raw Data'!$D$2:$D$201,MATCH(ROW()-4,'Raw Data'!$L$2:$L$201,0)),"")</f>
        <v>Data Analytics Basics</v>
      </c>
      <c r="E6" s="18" t="str">
        <f>IFERROR(INDEX('Raw Data'!$E$2:$E$201,MATCH(ROW()-4,'Raw Data'!$L$2:$L$201,0)),"")</f>
        <v>D</v>
      </c>
      <c r="F6" s="18" t="str">
        <f>IFERROR(INDEX('Raw Data'!$C$2:$C$201,MATCH(ROW()-4,'Raw Data'!$L$2:$L$201,0)),"")</f>
        <v>Registered</v>
      </c>
      <c r="G6" s="18" t="str">
        <f>IFERROR(INDEX('Raw Data'!$K$2:$K$201,MATCH(ROW()-4,'Raw Data'!$L$2:$L$201,0)),"")</f>
        <v>Collect interim feedback</v>
      </c>
      <c r="H6" s="18" t="str">
        <f t="shared" si="1"/>
        <v>Medium</v>
      </c>
      <c r="I6" s="18" t="str">
        <f t="shared" si="2"/>
        <v>Learning Ops</v>
      </c>
      <c r="J6" s="19">
        <f>IFERROR(INDEX('Raw Data'!$G$2:$G$201,MATCH(ROW()-4,'Raw Data'!$L$2:$L$201,0))+7,"")</f>
        <v>46174</v>
      </c>
      <c r="K6" s="18" t="str">
        <f t="shared" si="3"/>
        <v>Open</v>
      </c>
    </row>
    <row r="7" spans="1:11" x14ac:dyDescent="0.3">
      <c r="A7" s="18" t="str">
        <f t="shared" si="0"/>
        <v>ACT-003</v>
      </c>
      <c r="B7" s="18" t="str">
        <f>IFERROR(INDEX('Raw Data'!$A$2:$A$201,MATCH(ROW()-4,'Raw Data'!$L$2:$L$201,0)),"")</f>
        <v>P006</v>
      </c>
      <c r="C7" s="15" t="str">
        <f>IFERROR(INDEX('Raw Data'!$B$2:$B$201,MATCH(ROW()-4,'Raw Data'!$L$2:$L$201,0)),"")</f>
        <v>Sandeep Chawla</v>
      </c>
      <c r="D7" s="18" t="str">
        <f>IFERROR(INDEX('Raw Data'!$D$2:$D$201,MATCH(ROW()-4,'Raw Data'!$L$2:$L$201,0)),"")</f>
        <v>Data Analytics Basics</v>
      </c>
      <c r="E7" s="18" t="str">
        <f>IFERROR(INDEX('Raw Data'!$E$2:$E$201,MATCH(ROW()-4,'Raw Data'!$L$2:$L$201,0)),"")</f>
        <v>B</v>
      </c>
      <c r="F7" s="18" t="str">
        <f>IFERROR(INDEX('Raw Data'!$C$2:$C$201,MATCH(ROW()-4,'Raw Data'!$L$2:$L$201,0)),"")</f>
        <v>Registered</v>
      </c>
      <c r="G7" s="18" t="str">
        <f>IFERROR(INDEX('Raw Data'!$K$2:$K$201,MATCH(ROW()-4,'Raw Data'!$L$2:$L$201,0)),"")</f>
        <v>Follow up - dropped participant</v>
      </c>
      <c r="H7" s="18" t="str">
        <f t="shared" si="1"/>
        <v>High</v>
      </c>
      <c r="I7" s="18" t="str">
        <f t="shared" si="2"/>
        <v>Learning Ops</v>
      </c>
      <c r="J7" s="19">
        <f>IFERROR(INDEX('Raw Data'!$G$2:$G$201,MATCH(ROW()-4,'Raw Data'!$L$2:$L$201,0))+7,"")</f>
        <v>46168</v>
      </c>
      <c r="K7" s="18" t="str">
        <f t="shared" si="3"/>
        <v>Open</v>
      </c>
    </row>
    <row r="8" spans="1:11" x14ac:dyDescent="0.3">
      <c r="A8" s="18" t="str">
        <f t="shared" si="0"/>
        <v>ACT-004</v>
      </c>
      <c r="B8" s="18" t="str">
        <f>IFERROR(INDEX('Raw Data'!$A$2:$A$201,MATCH(ROW()-4,'Raw Data'!$L$2:$L$201,0)),"")</f>
        <v>P007</v>
      </c>
      <c r="C8" s="15" t="str">
        <f>IFERROR(INDEX('Raw Data'!$B$2:$B$201,MATCH(ROW()-4,'Raw Data'!$L$2:$L$201,0)),"")</f>
        <v>Anil Joshi</v>
      </c>
      <c r="D8" s="18" t="str">
        <f>IFERROR(INDEX('Raw Data'!$D$2:$D$201,MATCH(ROW()-4,'Raw Data'!$L$2:$L$201,0)),"")</f>
        <v>SQL for Beginners</v>
      </c>
      <c r="E8" s="18" t="str">
        <f>IFERROR(INDEX('Raw Data'!$E$2:$E$201,MATCH(ROW()-4,'Raw Data'!$L$2:$L$201,0)),"")</f>
        <v>B</v>
      </c>
      <c r="F8" s="18" t="str">
        <f>IFERROR(INDEX('Raw Data'!$C$2:$C$201,MATCH(ROW()-4,'Raw Data'!$L$2:$L$201,0)),"")</f>
        <v>Registered</v>
      </c>
      <c r="G8" s="18" t="str">
        <f>IFERROR(INDEX('Raw Data'!$K$2:$K$201,MATCH(ROW()-4,'Raw Data'!$L$2:$L$201,0)),"")</f>
        <v>Send completion certificate</v>
      </c>
      <c r="H8" s="18" t="str">
        <f t="shared" si="1"/>
        <v>Medium</v>
      </c>
      <c r="I8" s="18" t="str">
        <f t="shared" si="2"/>
        <v>Learning Ops</v>
      </c>
      <c r="J8" s="19">
        <f>IFERROR(INDEX('Raw Data'!$G$2:$G$201,MATCH(ROW()-4,'Raw Data'!$L$2:$L$201,0))+7,"")</f>
        <v>46204</v>
      </c>
      <c r="K8" s="18" t="str">
        <f t="shared" si="3"/>
        <v>Open</v>
      </c>
    </row>
    <row r="9" spans="1:11" x14ac:dyDescent="0.3">
      <c r="A9" s="18" t="str">
        <f t="shared" si="0"/>
        <v>ACT-005</v>
      </c>
      <c r="B9" s="18" t="str">
        <f>IFERROR(INDEX('Raw Data'!$A$2:$A$201,MATCH(ROW()-4,'Raw Data'!$L$2:$L$201,0)),"")</f>
        <v>P011</v>
      </c>
      <c r="C9" s="15" t="str">
        <f>IFERROR(INDEX('Raw Data'!$B$2:$B$201,MATCH(ROW()-4,'Raw Data'!$L$2:$L$201,0)),"")</f>
        <v>Reyansh Nayar</v>
      </c>
      <c r="D9" s="18" t="str">
        <f>IFERROR(INDEX('Raw Data'!$D$2:$D$201,MATCH(ROW()-4,'Raw Data'!$L$2:$L$201,0)),"")</f>
        <v>Leadership Essentials</v>
      </c>
      <c r="E9" s="18" t="str">
        <f>IFERROR(INDEX('Raw Data'!$E$2:$E$201,MATCH(ROW()-4,'Raw Data'!$L$2:$L$201,0)),"")</f>
        <v>B</v>
      </c>
      <c r="F9" s="18" t="str">
        <f>IFERROR(INDEX('Raw Data'!$C$2:$C$201,MATCH(ROW()-4,'Raw Data'!$L$2:$L$201,0)),"")</f>
        <v>Registered</v>
      </c>
      <c r="G9" s="18" t="str">
        <f>IFERROR(INDEX('Raw Data'!$K$2:$K$201,MATCH(ROW()-4,'Raw Data'!$L$2:$L$201,0)),"")</f>
        <v>Follow up on absence</v>
      </c>
      <c r="H9" s="18" t="str">
        <f t="shared" si="1"/>
        <v>High</v>
      </c>
      <c r="I9" s="18" t="str">
        <f t="shared" si="2"/>
        <v>Learning Ops</v>
      </c>
      <c r="J9" s="19">
        <f>IFERROR(INDEX('Raw Data'!$G$2:$G$201,MATCH(ROW()-4,'Raw Data'!$L$2:$L$201,0))+7,"")</f>
        <v>46216</v>
      </c>
      <c r="K9" s="18" t="str">
        <f t="shared" si="3"/>
        <v>Open</v>
      </c>
    </row>
    <row r="10" spans="1:11" x14ac:dyDescent="0.3">
      <c r="A10" s="18" t="str">
        <f t="shared" si="0"/>
        <v>ACT-006</v>
      </c>
      <c r="B10" s="18" t="str">
        <f>IFERROR(INDEX('Raw Data'!$A$2:$A$201,MATCH(ROW()-4,'Raw Data'!$L$2:$L$201,0)),"")</f>
        <v>P012</v>
      </c>
      <c r="C10" s="15" t="str">
        <f>IFERROR(INDEX('Raw Data'!$B$2:$B$201,MATCH(ROW()-4,'Raw Data'!$L$2:$L$201,0)),"")</f>
        <v>Anika Iyer</v>
      </c>
      <c r="D10" s="18" t="str">
        <f>IFERROR(INDEX('Raw Data'!$D$2:$D$201,MATCH(ROW()-4,'Raw Data'!$L$2:$L$201,0)),"")</f>
        <v>Data Analytics Basics</v>
      </c>
      <c r="E10" s="18" t="str">
        <f>IFERROR(INDEX('Raw Data'!$E$2:$E$201,MATCH(ROW()-4,'Raw Data'!$L$2:$L$201,0)),"")</f>
        <v>A</v>
      </c>
      <c r="F10" s="18" t="str">
        <f>IFERROR(INDEX('Raw Data'!$C$2:$C$201,MATCH(ROW()-4,'Raw Data'!$L$2:$L$201,0)),"")</f>
        <v>Waitlisted</v>
      </c>
      <c r="G10" s="18" t="str">
        <f>IFERROR(INDEX('Raw Data'!$K$2:$K$201,MATCH(ROW()-4,'Raw Data'!$L$2:$L$201,0)),"")</f>
        <v>Resolve waitlist</v>
      </c>
      <c r="H10" s="18" t="str">
        <f t="shared" si="1"/>
        <v>High</v>
      </c>
      <c r="I10" s="18" t="str">
        <f t="shared" si="2"/>
        <v>Program Coordinator</v>
      </c>
      <c r="J10" s="19">
        <f>IFERROR(INDEX('Raw Data'!$G$2:$G$201,MATCH(ROW()-4,'Raw Data'!$L$2:$L$201,0))+7,"")</f>
        <v>46165</v>
      </c>
      <c r="K10" s="18" t="str">
        <f t="shared" si="3"/>
        <v>Open</v>
      </c>
    </row>
    <row r="11" spans="1:11" x14ac:dyDescent="0.3">
      <c r="A11" s="18" t="str">
        <f t="shared" si="0"/>
        <v>ACT-007</v>
      </c>
      <c r="B11" s="18" t="str">
        <f>IFERROR(INDEX('Raw Data'!$A$2:$A$201,MATCH(ROW()-4,'Raw Data'!$L$2:$L$201,0)),"")</f>
        <v>P013</v>
      </c>
      <c r="C11" s="15" t="str">
        <f>IFERROR(INDEX('Raw Data'!$B$2:$B$201,MATCH(ROW()-4,'Raw Data'!$L$2:$L$201,0)),"")</f>
        <v>Gaurav Bhat</v>
      </c>
      <c r="D11" s="18" t="str">
        <f>IFERROR(INDEX('Raw Data'!$D$2:$D$201,MATCH(ROW()-4,'Raw Data'!$L$2:$L$201,0)),"")</f>
        <v>Excel Fundamentals</v>
      </c>
      <c r="E11" s="18" t="str">
        <f>IFERROR(INDEX('Raw Data'!$E$2:$E$201,MATCH(ROW()-4,'Raw Data'!$L$2:$L$201,0)),"")</f>
        <v>D</v>
      </c>
      <c r="F11" s="18" t="str">
        <f>IFERROR(INDEX('Raw Data'!$C$2:$C$201,MATCH(ROW()-4,'Raw Data'!$L$2:$L$201,0)),"")</f>
        <v>Registered</v>
      </c>
      <c r="G11" s="18" t="str">
        <f>IFERROR(INDEX('Raw Data'!$K$2:$K$201,MATCH(ROW()-4,'Raw Data'!$L$2:$L$201,0)),"")</f>
        <v>Follow up - dropped participant</v>
      </c>
      <c r="H11" s="18" t="str">
        <f t="shared" si="1"/>
        <v>High</v>
      </c>
      <c r="I11" s="18" t="str">
        <f t="shared" si="2"/>
        <v>Learning Ops</v>
      </c>
      <c r="J11" s="19">
        <f>IFERROR(INDEX('Raw Data'!$G$2:$G$201,MATCH(ROW()-4,'Raw Data'!$L$2:$L$201,0))+7,"")</f>
        <v>46162</v>
      </c>
      <c r="K11" s="18" t="str">
        <f t="shared" si="3"/>
        <v>Open</v>
      </c>
    </row>
    <row r="12" spans="1:11" x14ac:dyDescent="0.3">
      <c r="A12" s="18" t="str">
        <f t="shared" si="0"/>
        <v>ACT-008</v>
      </c>
      <c r="B12" s="18" t="str">
        <f>IFERROR(INDEX('Raw Data'!$A$2:$A$201,MATCH(ROW()-4,'Raw Data'!$L$2:$L$201,0)),"")</f>
        <v>P015</v>
      </c>
      <c r="C12" s="15" t="str">
        <f>IFERROR(INDEX('Raw Data'!$B$2:$B$201,MATCH(ROW()-4,'Raw Data'!$L$2:$L$201,0)),"")</f>
        <v>Aadhya Das</v>
      </c>
      <c r="D12" s="18" t="str">
        <f>IFERROR(INDEX('Raw Data'!$D$2:$D$201,MATCH(ROW()-4,'Raw Data'!$L$2:$L$201,0)),"")</f>
        <v>SQL for Beginners</v>
      </c>
      <c r="E12" s="18" t="str">
        <f>IFERROR(INDEX('Raw Data'!$E$2:$E$201,MATCH(ROW()-4,'Raw Data'!$L$2:$L$201,0)),"")</f>
        <v>D</v>
      </c>
      <c r="F12" s="18" t="str">
        <f>IFERROR(INDEX('Raw Data'!$C$2:$C$201,MATCH(ROW()-4,'Raw Data'!$L$2:$L$201,0)),"")</f>
        <v>Waitlisted</v>
      </c>
      <c r="G12" s="18" t="str">
        <f>IFERROR(INDEX('Raw Data'!$K$2:$K$201,MATCH(ROW()-4,'Raw Data'!$L$2:$L$201,0)),"")</f>
        <v>Resolve waitlist</v>
      </c>
      <c r="H12" s="18" t="str">
        <f t="shared" si="1"/>
        <v>High</v>
      </c>
      <c r="I12" s="18" t="str">
        <f t="shared" si="2"/>
        <v>Program Coordinator</v>
      </c>
      <c r="J12" s="19">
        <f>IFERROR(INDEX('Raw Data'!$G$2:$G$201,MATCH(ROW()-4,'Raw Data'!$L$2:$L$201,0))+7,"")</f>
        <v>46210</v>
      </c>
      <c r="K12" s="18" t="str">
        <f t="shared" si="3"/>
        <v>Open</v>
      </c>
    </row>
    <row r="13" spans="1:11" x14ac:dyDescent="0.3">
      <c r="A13" s="18" t="str">
        <f t="shared" si="0"/>
        <v>ACT-009</v>
      </c>
      <c r="B13" s="18" t="str">
        <f>IFERROR(INDEX('Raw Data'!$A$2:$A$201,MATCH(ROW()-4,'Raw Data'!$L$2:$L$201,0)),"")</f>
        <v>P016</v>
      </c>
      <c r="C13" s="15" t="str">
        <f>IFERROR(INDEX('Raw Data'!$B$2:$B$201,MATCH(ROW()-4,'Raw Data'!$L$2:$L$201,0)),"")</f>
        <v>Aadhya Mukherjee</v>
      </c>
      <c r="D13" s="18" t="str">
        <f>IFERROR(INDEX('Raw Data'!$D$2:$D$201,MATCH(ROW()-4,'Raw Data'!$L$2:$L$201,0)),"")</f>
        <v>Communication Skills</v>
      </c>
      <c r="E13" s="18" t="str">
        <f>IFERROR(INDEX('Raw Data'!$E$2:$E$201,MATCH(ROW()-4,'Raw Data'!$L$2:$L$201,0)),"")</f>
        <v>C</v>
      </c>
      <c r="F13" s="18" t="str">
        <f>IFERROR(INDEX('Raw Data'!$C$2:$C$201,MATCH(ROW()-4,'Raw Data'!$L$2:$L$201,0)),"")</f>
        <v>Waitlisted</v>
      </c>
      <c r="G13" s="18" t="str">
        <f>IFERROR(INDEX('Raw Data'!$K$2:$K$201,MATCH(ROW()-4,'Raw Data'!$L$2:$L$201,0)),"")</f>
        <v>Resolve waitlist</v>
      </c>
      <c r="H13" s="18" t="str">
        <f t="shared" si="1"/>
        <v>High</v>
      </c>
      <c r="I13" s="18" t="str">
        <f t="shared" si="2"/>
        <v>Program Coordinator</v>
      </c>
      <c r="J13" s="19">
        <f>IFERROR(INDEX('Raw Data'!$G$2:$G$201,MATCH(ROW()-4,'Raw Data'!$L$2:$L$201,0))+7,"")</f>
        <v>46183</v>
      </c>
      <c r="K13" s="18" t="str">
        <f t="shared" si="3"/>
        <v>Open</v>
      </c>
    </row>
    <row r="14" spans="1:11" x14ac:dyDescent="0.3">
      <c r="A14" s="18" t="str">
        <f t="shared" si="0"/>
        <v>ACT-010</v>
      </c>
      <c r="B14" s="18" t="str">
        <f>IFERROR(INDEX('Raw Data'!$A$2:$A$201,MATCH(ROW()-4,'Raw Data'!$L$2:$L$201,0)),"")</f>
        <v>P018</v>
      </c>
      <c r="C14" s="15" t="str">
        <f>IFERROR(INDEX('Raw Data'!$B$2:$B$201,MATCH(ROW()-4,'Raw Data'!$L$2:$L$201,0)),"")</f>
        <v>Neha Mehta</v>
      </c>
      <c r="D14" s="18" t="str">
        <f>IFERROR(INDEX('Raw Data'!$D$2:$D$201,MATCH(ROW()-4,'Raw Data'!$L$2:$L$201,0)),"")</f>
        <v>SQL for Beginners</v>
      </c>
      <c r="E14" s="18" t="str">
        <f>IFERROR(INDEX('Raw Data'!$E$2:$E$201,MATCH(ROW()-4,'Raw Data'!$L$2:$L$201,0)),"")</f>
        <v>A</v>
      </c>
      <c r="F14" s="18" t="str">
        <f>IFERROR(INDEX('Raw Data'!$C$2:$C$201,MATCH(ROW()-4,'Raw Data'!$L$2:$L$201,0)),"")</f>
        <v>Registered</v>
      </c>
      <c r="G14" s="18" t="str">
        <f>IFERROR(INDEX('Raw Data'!$K$2:$K$201,MATCH(ROW()-4,'Raw Data'!$L$2:$L$201,0)),"")</f>
        <v>Follow up - dropped participant</v>
      </c>
      <c r="H14" s="18" t="str">
        <f t="shared" si="1"/>
        <v>High</v>
      </c>
      <c r="I14" s="18" t="str">
        <f t="shared" si="2"/>
        <v>Learning Ops</v>
      </c>
      <c r="J14" s="19">
        <f>IFERROR(INDEX('Raw Data'!$G$2:$G$201,MATCH(ROW()-4,'Raw Data'!$L$2:$L$201,0))+7,"")</f>
        <v>46201</v>
      </c>
      <c r="K14" s="18" t="str">
        <f t="shared" si="3"/>
        <v>Open</v>
      </c>
    </row>
    <row r="15" spans="1:11" x14ac:dyDescent="0.3">
      <c r="A15" s="18" t="str">
        <f t="shared" si="0"/>
        <v>ACT-011</v>
      </c>
      <c r="B15" s="18" t="str">
        <f>IFERROR(INDEX('Raw Data'!$A$2:$A$201,MATCH(ROW()-4,'Raw Data'!$L$2:$L$201,0)),"")</f>
        <v>P021</v>
      </c>
      <c r="C15" s="15" t="str">
        <f>IFERROR(INDEX('Raw Data'!$B$2:$B$201,MATCH(ROW()-4,'Raw Data'!$L$2:$L$201,0)),"")</f>
        <v>Aarav Patel</v>
      </c>
      <c r="D15" s="18" t="str">
        <f>IFERROR(INDEX('Raw Data'!$D$2:$D$201,MATCH(ROW()-4,'Raw Data'!$L$2:$L$201,0)),"")</f>
        <v>Excel Fundamentals</v>
      </c>
      <c r="E15" s="18" t="str">
        <f>IFERROR(INDEX('Raw Data'!$E$2:$E$201,MATCH(ROW()-4,'Raw Data'!$L$2:$L$201,0)),"")</f>
        <v>B</v>
      </c>
      <c r="F15" s="18" t="str">
        <f>IFERROR(INDEX('Raw Data'!$C$2:$C$201,MATCH(ROW()-4,'Raw Data'!$L$2:$L$201,0)),"")</f>
        <v>Waitlisted</v>
      </c>
      <c r="G15" s="18" t="str">
        <f>IFERROR(INDEX('Raw Data'!$K$2:$K$201,MATCH(ROW()-4,'Raw Data'!$L$2:$L$201,0)),"")</f>
        <v>Resolve waitlist</v>
      </c>
      <c r="H15" s="18" t="str">
        <f t="shared" si="1"/>
        <v>High</v>
      </c>
      <c r="I15" s="18" t="str">
        <f t="shared" si="2"/>
        <v>Program Coordinator</v>
      </c>
      <c r="J15" s="19">
        <f>IFERROR(INDEX('Raw Data'!$G$2:$G$201,MATCH(ROW()-4,'Raw Data'!$L$2:$L$201,0))+7,"")</f>
        <v>46156</v>
      </c>
      <c r="K15" s="18" t="str">
        <f t="shared" si="3"/>
        <v>Open</v>
      </c>
    </row>
    <row r="16" spans="1:11" x14ac:dyDescent="0.3">
      <c r="A16" s="18" t="str">
        <f t="shared" si="0"/>
        <v>ACT-012</v>
      </c>
      <c r="B16" s="18" t="str">
        <f>IFERROR(INDEX('Raw Data'!$A$2:$A$201,MATCH(ROW()-4,'Raw Data'!$L$2:$L$201,0)),"")</f>
        <v>P022</v>
      </c>
      <c r="C16" s="15" t="str">
        <f>IFERROR(INDEX('Raw Data'!$B$2:$B$201,MATCH(ROW()-4,'Raw Data'!$L$2:$L$201,0)),"")</f>
        <v>Amit Mehta</v>
      </c>
      <c r="D16" s="18" t="str">
        <f>IFERROR(INDEX('Raw Data'!$D$2:$D$201,MATCH(ROW()-4,'Raw Data'!$L$2:$L$201,0)),"")</f>
        <v>Data Analytics Basics</v>
      </c>
      <c r="E16" s="18" t="str">
        <f>IFERROR(INDEX('Raw Data'!$E$2:$E$201,MATCH(ROW()-4,'Raw Data'!$L$2:$L$201,0)),"")</f>
        <v>A</v>
      </c>
      <c r="F16" s="18" t="str">
        <f>IFERROR(INDEX('Raw Data'!$C$2:$C$201,MATCH(ROW()-4,'Raw Data'!$L$2:$L$201,0)),"")</f>
        <v>Registered</v>
      </c>
      <c r="G16" s="18" t="str">
        <f>IFERROR(INDEX('Raw Data'!$K$2:$K$201,MATCH(ROW()-4,'Raw Data'!$L$2:$L$201,0)),"")</f>
        <v>Send completion certificate</v>
      </c>
      <c r="H16" s="18" t="str">
        <f t="shared" si="1"/>
        <v>Medium</v>
      </c>
      <c r="I16" s="18" t="str">
        <f t="shared" si="2"/>
        <v>Learning Ops</v>
      </c>
      <c r="J16" s="19">
        <f>IFERROR(INDEX('Raw Data'!$G$2:$G$201,MATCH(ROW()-4,'Raw Data'!$L$2:$L$201,0))+7,"")</f>
        <v>46165</v>
      </c>
      <c r="K16" s="18" t="str">
        <f t="shared" si="3"/>
        <v>Open</v>
      </c>
    </row>
    <row r="17" spans="1:11" x14ac:dyDescent="0.3">
      <c r="A17" s="18" t="str">
        <f t="shared" si="0"/>
        <v>ACT-013</v>
      </c>
      <c r="B17" s="18" t="str">
        <f>IFERROR(INDEX('Raw Data'!$A$2:$A$201,MATCH(ROW()-4,'Raw Data'!$L$2:$L$201,0)),"")</f>
        <v>P024</v>
      </c>
      <c r="C17" s="15" t="str">
        <f>IFERROR(INDEX('Raw Data'!$B$2:$B$201,MATCH(ROW()-4,'Raw Data'!$L$2:$L$201,0)),"")</f>
        <v>Anil Menon</v>
      </c>
      <c r="D17" s="18" t="str">
        <f>IFERROR(INDEX('Raw Data'!$D$2:$D$201,MATCH(ROW()-4,'Raw Data'!$L$2:$L$201,0)),"")</f>
        <v>SQL for Beginners</v>
      </c>
      <c r="E17" s="18" t="str">
        <f>IFERROR(INDEX('Raw Data'!$E$2:$E$201,MATCH(ROW()-4,'Raw Data'!$L$2:$L$201,0)),"")</f>
        <v>B</v>
      </c>
      <c r="F17" s="18" t="str">
        <f>IFERROR(INDEX('Raw Data'!$C$2:$C$201,MATCH(ROW()-4,'Raw Data'!$L$2:$L$201,0)),"")</f>
        <v>Registered</v>
      </c>
      <c r="G17" s="18" t="str">
        <f>IFERROR(INDEX('Raw Data'!$K$2:$K$201,MATCH(ROW()-4,'Raw Data'!$L$2:$L$201,0)),"")</f>
        <v>Follow up - dropped participant</v>
      </c>
      <c r="H17" s="18" t="str">
        <f t="shared" si="1"/>
        <v>High</v>
      </c>
      <c r="I17" s="18" t="str">
        <f t="shared" si="2"/>
        <v>Learning Ops</v>
      </c>
      <c r="J17" s="19">
        <f>IFERROR(INDEX('Raw Data'!$G$2:$G$201,MATCH(ROW()-4,'Raw Data'!$L$2:$L$201,0))+7,"")</f>
        <v>46204</v>
      </c>
      <c r="K17" s="18" t="str">
        <f t="shared" si="3"/>
        <v>Open</v>
      </c>
    </row>
    <row r="18" spans="1:11" x14ac:dyDescent="0.3">
      <c r="A18" s="18" t="str">
        <f t="shared" si="0"/>
        <v>ACT-014</v>
      </c>
      <c r="B18" s="18" t="str">
        <f>IFERROR(INDEX('Raw Data'!$A$2:$A$201,MATCH(ROW()-4,'Raw Data'!$L$2:$L$201,0)),"")</f>
        <v>P026</v>
      </c>
      <c r="C18" s="15" t="str">
        <f>IFERROR(INDEX('Raw Data'!$B$2:$B$201,MATCH(ROW()-4,'Raw Data'!$L$2:$L$201,0)),"")</f>
        <v>Suman Das</v>
      </c>
      <c r="D18" s="18" t="str">
        <f>IFERROR(INDEX('Raw Data'!$D$2:$D$201,MATCH(ROW()-4,'Raw Data'!$L$2:$L$201,0)),"")</f>
        <v>Excel Fundamentals</v>
      </c>
      <c r="E18" s="18" t="str">
        <f>IFERROR(INDEX('Raw Data'!$E$2:$E$201,MATCH(ROW()-4,'Raw Data'!$L$2:$L$201,0)),"")</f>
        <v>C</v>
      </c>
      <c r="F18" s="18" t="str">
        <f>IFERROR(INDEX('Raw Data'!$C$2:$C$201,MATCH(ROW()-4,'Raw Data'!$L$2:$L$201,0)),"")</f>
        <v>Waitlisted</v>
      </c>
      <c r="G18" s="18" t="str">
        <f>IFERROR(INDEX('Raw Data'!$K$2:$K$201,MATCH(ROW()-4,'Raw Data'!$L$2:$L$201,0)),"")</f>
        <v>Resolve waitlist</v>
      </c>
      <c r="H18" s="18" t="str">
        <f t="shared" si="1"/>
        <v>High</v>
      </c>
      <c r="I18" s="18" t="str">
        <f t="shared" si="2"/>
        <v>Program Coordinator</v>
      </c>
      <c r="J18" s="19">
        <f>IFERROR(INDEX('Raw Data'!$G$2:$G$201,MATCH(ROW()-4,'Raw Data'!$L$2:$L$201,0))+7,"")</f>
        <v>46159</v>
      </c>
      <c r="K18" s="18" t="str">
        <f t="shared" si="3"/>
        <v>Open</v>
      </c>
    </row>
    <row r="19" spans="1:11" x14ac:dyDescent="0.3">
      <c r="A19" s="18" t="str">
        <f t="shared" si="0"/>
        <v>ACT-015</v>
      </c>
      <c r="B19" s="18" t="str">
        <f>IFERROR(INDEX('Raw Data'!$A$2:$A$201,MATCH(ROW()-4,'Raw Data'!$L$2:$L$201,0)),"")</f>
        <v>P028</v>
      </c>
      <c r="C19" s="15" t="str">
        <f>IFERROR(INDEX('Raw Data'!$B$2:$B$201,MATCH(ROW()-4,'Raw Data'!$L$2:$L$201,0)),"")</f>
        <v>Shreya Bhat</v>
      </c>
      <c r="D19" s="18" t="str">
        <f>IFERROR(INDEX('Raw Data'!$D$2:$D$201,MATCH(ROW()-4,'Raw Data'!$L$2:$L$201,0)),"")</f>
        <v>Communication Skills</v>
      </c>
      <c r="E19" s="18" t="str">
        <f>IFERROR(INDEX('Raw Data'!$E$2:$E$201,MATCH(ROW()-4,'Raw Data'!$L$2:$L$201,0)),"")</f>
        <v>D</v>
      </c>
      <c r="F19" s="18" t="str">
        <f>IFERROR(INDEX('Raw Data'!$C$2:$C$201,MATCH(ROW()-4,'Raw Data'!$L$2:$L$201,0)),"")</f>
        <v>Registered</v>
      </c>
      <c r="G19" s="18" t="str">
        <f>IFERROR(INDEX('Raw Data'!$K$2:$K$201,MATCH(ROW()-4,'Raw Data'!$L$2:$L$201,0)),"")</f>
        <v>Collect interim feedback</v>
      </c>
      <c r="H19" s="18" t="str">
        <f t="shared" si="1"/>
        <v>Medium</v>
      </c>
      <c r="I19" s="18" t="str">
        <f t="shared" si="2"/>
        <v>Learning Ops</v>
      </c>
      <c r="J19" s="19">
        <f>IFERROR(INDEX('Raw Data'!$G$2:$G$201,MATCH(ROW()-4,'Raw Data'!$L$2:$L$201,0))+7,"")</f>
        <v>46186</v>
      </c>
      <c r="K19" s="18" t="str">
        <f t="shared" si="3"/>
        <v>Open</v>
      </c>
    </row>
    <row r="20" spans="1:11" x14ac:dyDescent="0.3">
      <c r="A20" s="18" t="str">
        <f t="shared" si="0"/>
        <v>ACT-016</v>
      </c>
      <c r="B20" s="18" t="str">
        <f>IFERROR(INDEX('Raw Data'!$A$2:$A$201,MATCH(ROW()-4,'Raw Data'!$L$2:$L$201,0)),"")</f>
        <v>P032</v>
      </c>
      <c r="C20" s="15" t="str">
        <f>IFERROR(INDEX('Raw Data'!$B$2:$B$201,MATCH(ROW()-4,'Raw Data'!$L$2:$L$201,0)),"")</f>
        <v>Ajay Kulkarni</v>
      </c>
      <c r="D20" s="18" t="str">
        <f>IFERROR(INDEX('Raw Data'!$D$2:$D$201,MATCH(ROW()-4,'Raw Data'!$L$2:$L$201,0)),"")</f>
        <v>Data Analytics Basics</v>
      </c>
      <c r="E20" s="18" t="str">
        <f>IFERROR(INDEX('Raw Data'!$E$2:$E$201,MATCH(ROW()-4,'Raw Data'!$L$2:$L$201,0)),"")</f>
        <v>C</v>
      </c>
      <c r="F20" s="18" t="str">
        <f>IFERROR(INDEX('Raw Data'!$C$2:$C$201,MATCH(ROW()-4,'Raw Data'!$L$2:$L$201,0)),"")</f>
        <v>Registered</v>
      </c>
      <c r="G20" s="18" t="str">
        <f>IFERROR(INDEX('Raw Data'!$K$2:$K$201,MATCH(ROW()-4,'Raw Data'!$L$2:$L$201,0)),"")</f>
        <v>Follow up - dropped participant</v>
      </c>
      <c r="H20" s="18" t="str">
        <f t="shared" si="1"/>
        <v>High</v>
      </c>
      <c r="I20" s="18" t="str">
        <f t="shared" si="2"/>
        <v>Learning Ops</v>
      </c>
      <c r="J20" s="19">
        <f>IFERROR(INDEX('Raw Data'!$G$2:$G$201,MATCH(ROW()-4,'Raw Data'!$L$2:$L$201,0))+7,"")</f>
        <v>46171</v>
      </c>
      <c r="K20" s="18" t="str">
        <f t="shared" si="3"/>
        <v>Open</v>
      </c>
    </row>
    <row r="21" spans="1:11" x14ac:dyDescent="0.3">
      <c r="A21" s="18" t="str">
        <f t="shared" si="0"/>
        <v>ACT-017</v>
      </c>
      <c r="B21" s="18" t="str">
        <f>IFERROR(INDEX('Raw Data'!$A$2:$A$201,MATCH(ROW()-4,'Raw Data'!$L$2:$L$201,0)),"")</f>
        <v>P035</v>
      </c>
      <c r="C21" s="15" t="str">
        <f>IFERROR(INDEX('Raw Data'!$B$2:$B$201,MATCH(ROW()-4,'Raw Data'!$L$2:$L$201,0)),"")</f>
        <v>Swati Ghosh</v>
      </c>
      <c r="D21" s="18" t="str">
        <f>IFERROR(INDEX('Raw Data'!$D$2:$D$201,MATCH(ROW()-4,'Raw Data'!$L$2:$L$201,0)),"")</f>
        <v>Project Management 101</v>
      </c>
      <c r="E21" s="18" t="str">
        <f>IFERROR(INDEX('Raw Data'!$E$2:$E$201,MATCH(ROW()-4,'Raw Data'!$L$2:$L$201,0)),"")</f>
        <v>B</v>
      </c>
      <c r="F21" s="18" t="str">
        <f>IFERROR(INDEX('Raw Data'!$C$2:$C$201,MATCH(ROW()-4,'Raw Data'!$L$2:$L$201,0)),"")</f>
        <v>Registered</v>
      </c>
      <c r="G21" s="18" t="str">
        <f>IFERROR(INDEX('Raw Data'!$K$2:$K$201,MATCH(ROW()-4,'Raw Data'!$L$2:$L$201,0)),"")</f>
        <v>Follow up on absence</v>
      </c>
      <c r="H21" s="18" t="str">
        <f t="shared" si="1"/>
        <v>High</v>
      </c>
      <c r="I21" s="18" t="str">
        <f t="shared" si="2"/>
        <v>Learning Ops</v>
      </c>
      <c r="J21" s="19">
        <f>IFERROR(INDEX('Raw Data'!$G$2:$G$201,MATCH(ROW()-4,'Raw Data'!$L$2:$L$201,0))+7,"")</f>
        <v>46192</v>
      </c>
      <c r="K21" s="18" t="str">
        <f t="shared" si="3"/>
        <v>Open</v>
      </c>
    </row>
    <row r="22" spans="1:11" x14ac:dyDescent="0.3">
      <c r="A22" s="18" t="str">
        <f t="shared" si="0"/>
        <v>ACT-018</v>
      </c>
      <c r="B22" s="18" t="str">
        <f>IFERROR(INDEX('Raw Data'!$A$2:$A$201,MATCH(ROW()-4,'Raw Data'!$L$2:$L$201,0)),"")</f>
        <v>P036</v>
      </c>
      <c r="C22" s="15" t="str">
        <f>IFERROR(INDEX('Raw Data'!$B$2:$B$201,MATCH(ROW()-4,'Raw Data'!$L$2:$L$201,0)),"")</f>
        <v>Jyoti Rana</v>
      </c>
      <c r="D22" s="18" t="str">
        <f>IFERROR(INDEX('Raw Data'!$D$2:$D$201,MATCH(ROW()-4,'Raw Data'!$L$2:$L$201,0)),"")</f>
        <v>Data Analytics Basics</v>
      </c>
      <c r="E22" s="18" t="str">
        <f>IFERROR(INDEX('Raw Data'!$E$2:$E$201,MATCH(ROW()-4,'Raw Data'!$L$2:$L$201,0)),"")</f>
        <v>A</v>
      </c>
      <c r="F22" s="18" t="str">
        <f>IFERROR(INDEX('Raw Data'!$C$2:$C$201,MATCH(ROW()-4,'Raw Data'!$L$2:$L$201,0)),"")</f>
        <v>Registered</v>
      </c>
      <c r="G22" s="18" t="str">
        <f>IFERROR(INDEX('Raw Data'!$K$2:$K$201,MATCH(ROW()-4,'Raw Data'!$L$2:$L$201,0)),"")</f>
        <v>Send completion certificate</v>
      </c>
      <c r="H22" s="18" t="str">
        <f t="shared" si="1"/>
        <v>Medium</v>
      </c>
      <c r="I22" s="18" t="str">
        <f t="shared" si="2"/>
        <v>Learning Ops</v>
      </c>
      <c r="J22" s="19">
        <f>IFERROR(INDEX('Raw Data'!$G$2:$G$201,MATCH(ROW()-4,'Raw Data'!$L$2:$L$201,0))+7,"")</f>
        <v>46165</v>
      </c>
      <c r="K22" s="18" t="str">
        <f t="shared" si="3"/>
        <v>Open</v>
      </c>
    </row>
    <row r="23" spans="1:11" x14ac:dyDescent="0.3">
      <c r="A23" s="18" t="str">
        <f t="shared" si="0"/>
        <v>ACT-019</v>
      </c>
      <c r="B23" s="18" t="str">
        <f>IFERROR(INDEX('Raw Data'!$A$2:$A$201,MATCH(ROW()-4,'Raw Data'!$L$2:$L$201,0)),"")</f>
        <v>P040</v>
      </c>
      <c r="C23" s="15" t="str">
        <f>IFERROR(INDEX('Raw Data'!$B$2:$B$201,MATCH(ROW()-4,'Raw Data'!$L$2:$L$201,0)),"")</f>
        <v>Lakshmi Rana</v>
      </c>
      <c r="D23" s="18" t="str">
        <f>IFERROR(INDEX('Raw Data'!$D$2:$D$201,MATCH(ROW()-4,'Raw Data'!$L$2:$L$201,0)),"")</f>
        <v>Communication Skills</v>
      </c>
      <c r="E23" s="18" t="str">
        <f>IFERROR(INDEX('Raw Data'!$E$2:$E$201,MATCH(ROW()-4,'Raw Data'!$L$2:$L$201,0)),"")</f>
        <v>C</v>
      </c>
      <c r="F23" s="18" t="str">
        <f>IFERROR(INDEX('Raw Data'!$C$2:$C$201,MATCH(ROW()-4,'Raw Data'!$L$2:$L$201,0)),"")</f>
        <v>Waitlisted</v>
      </c>
      <c r="G23" s="18" t="str">
        <f>IFERROR(INDEX('Raw Data'!$K$2:$K$201,MATCH(ROW()-4,'Raw Data'!$L$2:$L$201,0)),"")</f>
        <v>Resolve waitlist</v>
      </c>
      <c r="H23" s="18" t="str">
        <f t="shared" si="1"/>
        <v>High</v>
      </c>
      <c r="I23" s="18" t="str">
        <f t="shared" si="2"/>
        <v>Program Coordinator</v>
      </c>
      <c r="J23" s="19">
        <f>IFERROR(INDEX('Raw Data'!$G$2:$G$201,MATCH(ROW()-4,'Raw Data'!$L$2:$L$201,0))+7,"")</f>
        <v>46183</v>
      </c>
      <c r="K23" s="18" t="str">
        <f t="shared" si="3"/>
        <v>Open</v>
      </c>
    </row>
    <row r="24" spans="1:11" x14ac:dyDescent="0.3">
      <c r="A24" s="18" t="str">
        <f t="shared" si="0"/>
        <v>ACT-020</v>
      </c>
      <c r="B24" s="18" t="str">
        <f>IFERROR(INDEX('Raw Data'!$A$2:$A$201,MATCH(ROW()-4,'Raw Data'!$L$2:$L$201,0)),"")</f>
        <v>P041</v>
      </c>
      <c r="C24" s="15" t="str">
        <f>IFERROR(INDEX('Raw Data'!$B$2:$B$201,MATCH(ROW()-4,'Raw Data'!$L$2:$L$201,0)),"")</f>
        <v>Radha Mukherjee</v>
      </c>
      <c r="D24" s="18" t="str">
        <f>IFERROR(INDEX('Raw Data'!$D$2:$D$201,MATCH(ROW()-4,'Raw Data'!$L$2:$L$201,0)),"")</f>
        <v>Project Management 101</v>
      </c>
      <c r="E24" s="18" t="str">
        <f>IFERROR(INDEX('Raw Data'!$E$2:$E$201,MATCH(ROW()-4,'Raw Data'!$L$2:$L$201,0)),"")</f>
        <v>B</v>
      </c>
      <c r="F24" s="18" t="str">
        <f>IFERROR(INDEX('Raw Data'!$C$2:$C$201,MATCH(ROW()-4,'Raw Data'!$L$2:$L$201,0)),"")</f>
        <v>Waitlisted</v>
      </c>
      <c r="G24" s="18" t="str">
        <f>IFERROR(INDEX('Raw Data'!$K$2:$K$201,MATCH(ROW()-4,'Raw Data'!$L$2:$L$201,0)),"")</f>
        <v>Resolve waitlist</v>
      </c>
      <c r="H24" s="18" t="str">
        <f t="shared" si="1"/>
        <v>High</v>
      </c>
      <c r="I24" s="18" t="str">
        <f t="shared" si="2"/>
        <v>Program Coordinator</v>
      </c>
      <c r="J24" s="19">
        <f>IFERROR(INDEX('Raw Data'!$G$2:$G$201,MATCH(ROW()-4,'Raw Data'!$L$2:$L$201,0))+7,"")</f>
        <v>46192</v>
      </c>
      <c r="K24" s="18" t="str">
        <f t="shared" si="3"/>
        <v>Open</v>
      </c>
    </row>
    <row r="25" spans="1:11" x14ac:dyDescent="0.3">
      <c r="A25" s="18" t="str">
        <f t="shared" si="0"/>
        <v>ACT-021</v>
      </c>
      <c r="B25" s="18" t="str">
        <f>IFERROR(INDEX('Raw Data'!$A$2:$A$201,MATCH(ROW()-4,'Raw Data'!$L$2:$L$201,0)),"")</f>
        <v>P044</v>
      </c>
      <c r="C25" s="15" t="str">
        <f>IFERROR(INDEX('Raw Data'!$B$2:$B$201,MATCH(ROW()-4,'Raw Data'!$L$2:$L$201,0)),"")</f>
        <v>Reyansh Kumar</v>
      </c>
      <c r="D25" s="18" t="str">
        <f>IFERROR(INDEX('Raw Data'!$D$2:$D$201,MATCH(ROW()-4,'Raw Data'!$L$2:$L$201,0)),"")</f>
        <v>Leadership Essentials</v>
      </c>
      <c r="E25" s="18" t="str">
        <f>IFERROR(INDEX('Raw Data'!$E$2:$E$201,MATCH(ROW()-4,'Raw Data'!$L$2:$L$201,0)),"")</f>
        <v>C</v>
      </c>
      <c r="F25" s="18" t="str">
        <f>IFERROR(INDEX('Raw Data'!$C$2:$C$201,MATCH(ROW()-4,'Raw Data'!$L$2:$L$201,0)),"")</f>
        <v>Registered</v>
      </c>
      <c r="G25" s="18" t="str">
        <f>IFERROR(INDEX('Raw Data'!$K$2:$K$201,MATCH(ROW()-4,'Raw Data'!$L$2:$L$201,0)),"")</f>
        <v>Follow up on absence</v>
      </c>
      <c r="H25" s="18" t="str">
        <f t="shared" si="1"/>
        <v>High</v>
      </c>
      <c r="I25" s="18" t="str">
        <f t="shared" si="2"/>
        <v>Learning Ops</v>
      </c>
      <c r="J25" s="19">
        <f>IFERROR(INDEX('Raw Data'!$G$2:$G$201,MATCH(ROW()-4,'Raw Data'!$L$2:$L$201,0))+7,"")</f>
        <v>46219</v>
      </c>
      <c r="K25" s="18" t="str">
        <f t="shared" si="3"/>
        <v>Open</v>
      </c>
    </row>
    <row r="26" spans="1:11" x14ac:dyDescent="0.3">
      <c r="A26" s="18" t="str">
        <f t="shared" si="0"/>
        <v>ACT-022</v>
      </c>
      <c r="B26" s="18" t="str">
        <f>IFERROR(INDEX('Raw Data'!$A$2:$A$201,MATCH(ROW()-4,'Raw Data'!$L$2:$L$201,0)),"")</f>
        <v>P045</v>
      </c>
      <c r="C26" s="15" t="str">
        <f>IFERROR(INDEX('Raw Data'!$B$2:$B$201,MATCH(ROW()-4,'Raw Data'!$L$2:$L$201,0)),"")</f>
        <v>Anita Desai</v>
      </c>
      <c r="D26" s="18" t="str">
        <f>IFERROR(INDEX('Raw Data'!$D$2:$D$201,MATCH(ROW()-4,'Raw Data'!$L$2:$L$201,0)),"")</f>
        <v>Excel Fundamentals</v>
      </c>
      <c r="E26" s="18" t="str">
        <f>IFERROR(INDEX('Raw Data'!$E$2:$E$201,MATCH(ROW()-4,'Raw Data'!$L$2:$L$201,0)),"")</f>
        <v>B</v>
      </c>
      <c r="F26" s="18" t="str">
        <f>IFERROR(INDEX('Raw Data'!$C$2:$C$201,MATCH(ROW()-4,'Raw Data'!$L$2:$L$201,0)),"")</f>
        <v>Waitlisted</v>
      </c>
      <c r="G26" s="18" t="str">
        <f>IFERROR(INDEX('Raw Data'!$K$2:$K$201,MATCH(ROW()-4,'Raw Data'!$L$2:$L$201,0)),"")</f>
        <v>Resolve waitlist</v>
      </c>
      <c r="H26" s="18" t="str">
        <f t="shared" si="1"/>
        <v>High</v>
      </c>
      <c r="I26" s="18" t="str">
        <f t="shared" si="2"/>
        <v>Program Coordinator</v>
      </c>
      <c r="J26" s="19">
        <f>IFERROR(INDEX('Raw Data'!$G$2:$G$201,MATCH(ROW()-4,'Raw Data'!$L$2:$L$201,0))+7,"")</f>
        <v>46156</v>
      </c>
      <c r="K26" s="18" t="str">
        <f t="shared" si="3"/>
        <v>Open</v>
      </c>
    </row>
    <row r="27" spans="1:11" x14ac:dyDescent="0.3">
      <c r="A27" s="18" t="str">
        <f t="shared" si="0"/>
        <v>ACT-023</v>
      </c>
      <c r="B27" s="18" t="str">
        <f>IFERROR(INDEX('Raw Data'!$A$2:$A$201,MATCH(ROW()-4,'Raw Data'!$L$2:$L$201,0)),"")</f>
        <v>P047</v>
      </c>
      <c r="C27" s="15" t="str">
        <f>IFERROR(INDEX('Raw Data'!$B$2:$B$201,MATCH(ROW()-4,'Raw Data'!$L$2:$L$201,0)),"")</f>
        <v>Suresh Joshi</v>
      </c>
      <c r="D27" s="18" t="str">
        <f>IFERROR(INDEX('Raw Data'!$D$2:$D$201,MATCH(ROW()-4,'Raw Data'!$L$2:$L$201,0)),"")</f>
        <v>Project Management 101</v>
      </c>
      <c r="E27" s="18" t="str">
        <f>IFERROR(INDEX('Raw Data'!$E$2:$E$201,MATCH(ROW()-4,'Raw Data'!$L$2:$L$201,0)),"")</f>
        <v>C</v>
      </c>
      <c r="F27" s="18" t="str">
        <f>IFERROR(INDEX('Raw Data'!$C$2:$C$201,MATCH(ROW()-4,'Raw Data'!$L$2:$L$201,0)),"")</f>
        <v>Registered</v>
      </c>
      <c r="G27" s="18" t="str">
        <f>IFERROR(INDEX('Raw Data'!$K$2:$K$201,MATCH(ROW()-4,'Raw Data'!$L$2:$L$201,0)),"")</f>
        <v>Follow up - dropped participant</v>
      </c>
      <c r="H27" s="18" t="str">
        <f t="shared" si="1"/>
        <v>High</v>
      </c>
      <c r="I27" s="18" t="str">
        <f t="shared" si="2"/>
        <v>Learning Ops</v>
      </c>
      <c r="J27" s="19">
        <f>IFERROR(INDEX('Raw Data'!$G$2:$G$201,MATCH(ROW()-4,'Raw Data'!$L$2:$L$201,0))+7,"")</f>
        <v>46195</v>
      </c>
      <c r="K27" s="18" t="str">
        <f t="shared" si="3"/>
        <v>Open</v>
      </c>
    </row>
    <row r="28" spans="1:11" x14ac:dyDescent="0.3">
      <c r="A28" s="18" t="str">
        <f t="shared" si="0"/>
        <v>ACT-024</v>
      </c>
      <c r="B28" s="18" t="str">
        <f>IFERROR(INDEX('Raw Data'!$A$2:$A$201,MATCH(ROW()-4,'Raw Data'!$L$2:$L$201,0)),"")</f>
        <v>P048</v>
      </c>
      <c r="C28" s="15" t="str">
        <f>IFERROR(INDEX('Raw Data'!$B$2:$B$201,MATCH(ROW()-4,'Raw Data'!$L$2:$L$201,0)),"")</f>
        <v>Myra Sharma</v>
      </c>
      <c r="D28" s="18" t="str">
        <f>IFERROR(INDEX('Raw Data'!$D$2:$D$201,MATCH(ROW()-4,'Raw Data'!$L$2:$L$201,0)),"")</f>
        <v>Data Analytics Basics</v>
      </c>
      <c r="E28" s="18" t="str">
        <f>IFERROR(INDEX('Raw Data'!$E$2:$E$201,MATCH(ROW()-4,'Raw Data'!$L$2:$L$201,0)),"")</f>
        <v>D</v>
      </c>
      <c r="F28" s="18" t="str">
        <f>IFERROR(INDEX('Raw Data'!$C$2:$C$201,MATCH(ROW()-4,'Raw Data'!$L$2:$L$201,0)),"")</f>
        <v>Registered</v>
      </c>
      <c r="G28" s="18" t="str">
        <f>IFERROR(INDEX('Raw Data'!$K$2:$K$201,MATCH(ROW()-4,'Raw Data'!$L$2:$L$201,0)),"")</f>
        <v>Collect interim feedback</v>
      </c>
      <c r="H28" s="18" t="str">
        <f t="shared" si="1"/>
        <v>Medium</v>
      </c>
      <c r="I28" s="18" t="str">
        <f t="shared" si="2"/>
        <v>Learning Ops</v>
      </c>
      <c r="J28" s="19">
        <f>IFERROR(INDEX('Raw Data'!$G$2:$G$201,MATCH(ROW()-4,'Raw Data'!$L$2:$L$201,0))+7,"")</f>
        <v>46174</v>
      </c>
      <c r="K28" s="18" t="str">
        <f t="shared" si="3"/>
        <v>Open</v>
      </c>
    </row>
    <row r="29" spans="1:11" x14ac:dyDescent="0.3">
      <c r="A29" s="18" t="str">
        <f t="shared" si="0"/>
        <v>ACT-025</v>
      </c>
      <c r="B29" s="18" t="str">
        <f>IFERROR(INDEX('Raw Data'!$A$2:$A$201,MATCH(ROW()-4,'Raw Data'!$L$2:$L$201,0)),"")</f>
        <v>P050</v>
      </c>
      <c r="C29" s="15" t="str">
        <f>IFERROR(INDEX('Raw Data'!$B$2:$B$201,MATCH(ROW()-4,'Raw Data'!$L$2:$L$201,0)),"")</f>
        <v>Riya Bose</v>
      </c>
      <c r="D29" s="18" t="str">
        <f>IFERROR(INDEX('Raw Data'!$D$2:$D$201,MATCH(ROW()-4,'Raw Data'!$L$2:$L$201,0)),"")</f>
        <v>Communication Skills</v>
      </c>
      <c r="E29" s="18" t="str">
        <f>IFERROR(INDEX('Raw Data'!$E$2:$E$201,MATCH(ROW()-4,'Raw Data'!$L$2:$L$201,0)),"")</f>
        <v>C</v>
      </c>
      <c r="F29" s="18" t="str">
        <f>IFERROR(INDEX('Raw Data'!$C$2:$C$201,MATCH(ROW()-4,'Raw Data'!$L$2:$L$201,0)),"")</f>
        <v>Registered</v>
      </c>
      <c r="G29" s="18" t="str">
        <f>IFERROR(INDEX('Raw Data'!$K$2:$K$201,MATCH(ROW()-4,'Raw Data'!$L$2:$L$201,0)),"")</f>
        <v>Collect interim feedback</v>
      </c>
      <c r="H29" s="18" t="str">
        <f t="shared" si="1"/>
        <v>Medium</v>
      </c>
      <c r="I29" s="18" t="str">
        <f t="shared" si="2"/>
        <v>Learning Ops</v>
      </c>
      <c r="J29" s="19">
        <f>IFERROR(INDEX('Raw Data'!$G$2:$G$201,MATCH(ROW()-4,'Raw Data'!$L$2:$L$201,0))+7,"")</f>
        <v>46183</v>
      </c>
      <c r="K29" s="18" t="str">
        <f t="shared" si="3"/>
        <v>Open</v>
      </c>
    </row>
    <row r="30" spans="1:11" x14ac:dyDescent="0.3">
      <c r="A30" s="18" t="str">
        <f t="shared" si="0"/>
        <v>ACT-026</v>
      </c>
      <c r="B30" s="18" t="str">
        <f>IFERROR(INDEX('Raw Data'!$A$2:$A$201,MATCH(ROW()-4,'Raw Data'!$L$2:$L$201,0)),"")</f>
        <v>P051</v>
      </c>
      <c r="C30" s="15" t="str">
        <f>IFERROR(INDEX('Raw Data'!$B$2:$B$201,MATCH(ROW()-4,'Raw Data'!$L$2:$L$201,0)),"")</f>
        <v>Varun Mehta</v>
      </c>
      <c r="D30" s="18" t="str">
        <f>IFERROR(INDEX('Raw Data'!$D$2:$D$201,MATCH(ROW()-4,'Raw Data'!$L$2:$L$201,0)),"")</f>
        <v>Excel Fundamentals</v>
      </c>
      <c r="E30" s="18" t="str">
        <f>IFERROR(INDEX('Raw Data'!$E$2:$E$201,MATCH(ROW()-4,'Raw Data'!$L$2:$L$201,0)),"")</f>
        <v>C</v>
      </c>
      <c r="F30" s="18" t="str">
        <f>IFERROR(INDEX('Raw Data'!$C$2:$C$201,MATCH(ROW()-4,'Raw Data'!$L$2:$L$201,0)),"")</f>
        <v>Registered</v>
      </c>
      <c r="G30" s="18" t="str">
        <f>IFERROR(INDEX('Raw Data'!$K$2:$K$201,MATCH(ROW()-4,'Raw Data'!$L$2:$L$201,0)),"")</f>
        <v>Collect interim feedback</v>
      </c>
      <c r="H30" s="18" t="str">
        <f t="shared" si="1"/>
        <v>Medium</v>
      </c>
      <c r="I30" s="18" t="str">
        <f t="shared" si="2"/>
        <v>Learning Ops</v>
      </c>
      <c r="J30" s="19">
        <f>IFERROR(INDEX('Raw Data'!$G$2:$G$201,MATCH(ROW()-4,'Raw Data'!$L$2:$L$201,0))+7,"")</f>
        <v>46159</v>
      </c>
      <c r="K30" s="18" t="str">
        <f t="shared" si="3"/>
        <v>Open</v>
      </c>
    </row>
    <row r="31" spans="1:11" x14ac:dyDescent="0.3">
      <c r="A31" s="18" t="str">
        <f t="shared" si="0"/>
        <v>ACT-027</v>
      </c>
      <c r="B31" s="18" t="str">
        <f>IFERROR(INDEX('Raw Data'!$A$2:$A$201,MATCH(ROW()-4,'Raw Data'!$L$2:$L$201,0)),"")</f>
        <v>P053</v>
      </c>
      <c r="C31" s="15" t="str">
        <f>IFERROR(INDEX('Raw Data'!$B$2:$B$201,MATCH(ROW()-4,'Raw Data'!$L$2:$L$201,0)),"")</f>
        <v>Ajay Chawla</v>
      </c>
      <c r="D31" s="18" t="str">
        <f>IFERROR(INDEX('Raw Data'!$D$2:$D$201,MATCH(ROW()-4,'Raw Data'!$L$2:$L$201,0)),"")</f>
        <v>Project Management 101</v>
      </c>
      <c r="E31" s="18" t="str">
        <f>IFERROR(INDEX('Raw Data'!$E$2:$E$201,MATCH(ROW()-4,'Raw Data'!$L$2:$L$201,0)),"")</f>
        <v>A</v>
      </c>
      <c r="F31" s="18" t="str">
        <f>IFERROR(INDEX('Raw Data'!$C$2:$C$201,MATCH(ROW()-4,'Raw Data'!$L$2:$L$201,0)),"")</f>
        <v>Registered</v>
      </c>
      <c r="G31" s="18" t="str">
        <f>IFERROR(INDEX('Raw Data'!$K$2:$K$201,MATCH(ROW()-4,'Raw Data'!$L$2:$L$201,0)),"")</f>
        <v>Collect interim feedback</v>
      </c>
      <c r="H31" s="18" t="str">
        <f t="shared" si="1"/>
        <v>Medium</v>
      </c>
      <c r="I31" s="18" t="str">
        <f t="shared" si="2"/>
        <v>Learning Ops</v>
      </c>
      <c r="J31" s="19">
        <f>IFERROR(INDEX('Raw Data'!$G$2:$G$201,MATCH(ROW()-4,'Raw Data'!$L$2:$L$201,0))+7,"")</f>
        <v>46189</v>
      </c>
      <c r="K31" s="18" t="str">
        <f t="shared" si="3"/>
        <v>Open</v>
      </c>
    </row>
    <row r="32" spans="1:11" x14ac:dyDescent="0.3">
      <c r="A32" s="18" t="str">
        <f t="shared" si="0"/>
        <v>ACT-028</v>
      </c>
      <c r="B32" s="18" t="str">
        <f>IFERROR(INDEX('Raw Data'!$A$2:$A$201,MATCH(ROW()-4,'Raw Data'!$L$2:$L$201,0)),"")</f>
        <v>P054</v>
      </c>
      <c r="C32" s="15" t="str">
        <f>IFERROR(INDEX('Raw Data'!$B$2:$B$201,MATCH(ROW()-4,'Raw Data'!$L$2:$L$201,0)),"")</f>
        <v>Karthik Sharma</v>
      </c>
      <c r="D32" s="18" t="str">
        <f>IFERROR(INDEX('Raw Data'!$D$2:$D$201,MATCH(ROW()-4,'Raw Data'!$L$2:$L$201,0)),"")</f>
        <v>SQL for Beginners</v>
      </c>
      <c r="E32" s="18" t="str">
        <f>IFERROR(INDEX('Raw Data'!$E$2:$E$201,MATCH(ROW()-4,'Raw Data'!$L$2:$L$201,0)),"")</f>
        <v>B</v>
      </c>
      <c r="F32" s="18" t="str">
        <f>IFERROR(INDEX('Raw Data'!$C$2:$C$201,MATCH(ROW()-4,'Raw Data'!$L$2:$L$201,0)),"")</f>
        <v>Registered</v>
      </c>
      <c r="G32" s="18" t="str">
        <f>IFERROR(INDEX('Raw Data'!$K$2:$K$201,MATCH(ROW()-4,'Raw Data'!$L$2:$L$201,0)),"")</f>
        <v>Follow up on absence</v>
      </c>
      <c r="H32" s="18" t="str">
        <f t="shared" si="1"/>
        <v>High</v>
      </c>
      <c r="I32" s="18" t="str">
        <f t="shared" si="2"/>
        <v>Learning Ops</v>
      </c>
      <c r="J32" s="19">
        <f>IFERROR(INDEX('Raw Data'!$G$2:$G$201,MATCH(ROW()-4,'Raw Data'!$L$2:$L$201,0))+7,"")</f>
        <v>46204</v>
      </c>
      <c r="K32" s="18" t="str">
        <f t="shared" si="3"/>
        <v>Open</v>
      </c>
    </row>
    <row r="33" spans="1:11" x14ac:dyDescent="0.3">
      <c r="A33" s="18" t="str">
        <f t="shared" si="0"/>
        <v>ACT-029</v>
      </c>
      <c r="B33" s="18" t="str">
        <f>IFERROR(INDEX('Raw Data'!$A$2:$A$201,MATCH(ROW()-4,'Raw Data'!$L$2:$L$201,0)),"")</f>
        <v>P057</v>
      </c>
      <c r="C33" s="15" t="str">
        <f>IFERROR(INDEX('Raw Data'!$B$2:$B$201,MATCH(ROW()-4,'Raw Data'!$L$2:$L$201,0)),"")</f>
        <v>Reyansh Chatterjee</v>
      </c>
      <c r="D33" s="18" t="str">
        <f>IFERROR(INDEX('Raw Data'!$D$2:$D$201,MATCH(ROW()-4,'Raw Data'!$L$2:$L$201,0)),"")</f>
        <v>Excel Fundamentals</v>
      </c>
      <c r="E33" s="18" t="str">
        <f>IFERROR(INDEX('Raw Data'!$E$2:$E$201,MATCH(ROW()-4,'Raw Data'!$L$2:$L$201,0)),"")</f>
        <v>B</v>
      </c>
      <c r="F33" s="18" t="str">
        <f>IFERROR(INDEX('Raw Data'!$C$2:$C$201,MATCH(ROW()-4,'Raw Data'!$L$2:$L$201,0)),"")</f>
        <v>Waitlisted</v>
      </c>
      <c r="G33" s="18" t="str">
        <f>IFERROR(INDEX('Raw Data'!$K$2:$K$201,MATCH(ROW()-4,'Raw Data'!$L$2:$L$201,0)),"")</f>
        <v>Resolve waitlist</v>
      </c>
      <c r="H33" s="18" t="str">
        <f t="shared" si="1"/>
        <v>High</v>
      </c>
      <c r="I33" s="18" t="str">
        <f t="shared" si="2"/>
        <v>Program Coordinator</v>
      </c>
      <c r="J33" s="19">
        <f>IFERROR(INDEX('Raw Data'!$G$2:$G$201,MATCH(ROW()-4,'Raw Data'!$L$2:$L$201,0))+7,"")</f>
        <v>46156</v>
      </c>
      <c r="K33" s="18" t="str">
        <f t="shared" si="3"/>
        <v>Open</v>
      </c>
    </row>
    <row r="34" spans="1:11" x14ac:dyDescent="0.3">
      <c r="A34" s="18" t="str">
        <f t="shared" si="0"/>
        <v>ACT-030</v>
      </c>
      <c r="B34" s="18" t="str">
        <f>IFERROR(INDEX('Raw Data'!$A$2:$A$201,MATCH(ROW()-4,'Raw Data'!$L$2:$L$201,0)),"")</f>
        <v>P059</v>
      </c>
      <c r="C34" s="15" t="str">
        <f>IFERROR(INDEX('Raw Data'!$B$2:$B$201,MATCH(ROW()-4,'Raw Data'!$L$2:$L$201,0)),"")</f>
        <v>Naveen Chatterjee</v>
      </c>
      <c r="D34" s="18" t="str">
        <f>IFERROR(INDEX('Raw Data'!$D$2:$D$201,MATCH(ROW()-4,'Raw Data'!$L$2:$L$201,0)),"")</f>
        <v>Communication Skills</v>
      </c>
      <c r="E34" s="18" t="str">
        <f>IFERROR(INDEX('Raw Data'!$E$2:$E$201,MATCH(ROW()-4,'Raw Data'!$L$2:$L$201,0)),"")</f>
        <v>C</v>
      </c>
      <c r="F34" s="18" t="str">
        <f>IFERROR(INDEX('Raw Data'!$C$2:$C$201,MATCH(ROW()-4,'Raw Data'!$L$2:$L$201,0)),"")</f>
        <v>Registered</v>
      </c>
      <c r="G34" s="18" t="str">
        <f>IFERROR(INDEX('Raw Data'!$K$2:$K$201,MATCH(ROW()-4,'Raw Data'!$L$2:$L$201,0)),"")</f>
        <v>Send completion certificate</v>
      </c>
      <c r="H34" s="18" t="str">
        <f t="shared" si="1"/>
        <v>Medium</v>
      </c>
      <c r="I34" s="18" t="str">
        <f t="shared" si="2"/>
        <v>Learning Ops</v>
      </c>
      <c r="J34" s="19">
        <f>IFERROR(INDEX('Raw Data'!$G$2:$G$201,MATCH(ROW()-4,'Raw Data'!$L$2:$L$201,0))+7,"")</f>
        <v>46183</v>
      </c>
      <c r="K34" s="18" t="str">
        <f t="shared" si="3"/>
        <v>Open</v>
      </c>
    </row>
    <row r="35" spans="1:11" x14ac:dyDescent="0.3">
      <c r="A35" s="18" t="str">
        <f t="shared" si="0"/>
        <v>ACT-031</v>
      </c>
      <c r="B35" s="18" t="str">
        <f>IFERROR(INDEX('Raw Data'!$A$2:$A$201,MATCH(ROW()-4,'Raw Data'!$L$2:$L$201,0)),"")</f>
        <v>P061</v>
      </c>
      <c r="C35" s="15" t="str">
        <f>IFERROR(INDEX('Raw Data'!$B$2:$B$201,MATCH(ROW()-4,'Raw Data'!$L$2:$L$201,0)),"")</f>
        <v>Saanvi Mehta</v>
      </c>
      <c r="D35" s="18" t="str">
        <f>IFERROR(INDEX('Raw Data'!$D$2:$D$201,MATCH(ROW()-4,'Raw Data'!$L$2:$L$201,0)),"")</f>
        <v>SQL for Beginners</v>
      </c>
      <c r="E35" s="18" t="str">
        <f>IFERROR(INDEX('Raw Data'!$E$2:$E$201,MATCH(ROW()-4,'Raw Data'!$L$2:$L$201,0)),"")</f>
        <v>C</v>
      </c>
      <c r="F35" s="18" t="str">
        <f>IFERROR(INDEX('Raw Data'!$C$2:$C$201,MATCH(ROW()-4,'Raw Data'!$L$2:$L$201,0)),"")</f>
        <v>Registered</v>
      </c>
      <c r="G35" s="18" t="str">
        <f>IFERROR(INDEX('Raw Data'!$K$2:$K$201,MATCH(ROW()-4,'Raw Data'!$L$2:$L$201,0)),"")</f>
        <v>Collect interim feedback</v>
      </c>
      <c r="H35" s="18" t="str">
        <f t="shared" si="1"/>
        <v>Medium</v>
      </c>
      <c r="I35" s="18" t="str">
        <f t="shared" si="2"/>
        <v>Learning Ops</v>
      </c>
      <c r="J35" s="19">
        <f>IFERROR(INDEX('Raw Data'!$G$2:$G$201,MATCH(ROW()-4,'Raw Data'!$L$2:$L$201,0))+7,"")</f>
        <v>46207</v>
      </c>
      <c r="K35" s="18" t="str">
        <f t="shared" si="3"/>
        <v>Open</v>
      </c>
    </row>
    <row r="36" spans="1:11" x14ac:dyDescent="0.3">
      <c r="A36" s="18" t="str">
        <f t="shared" si="0"/>
        <v>ACT-032</v>
      </c>
      <c r="B36" s="18" t="str">
        <f>IFERROR(INDEX('Raw Data'!$A$2:$A$201,MATCH(ROW()-4,'Raw Data'!$L$2:$L$201,0)),"")</f>
        <v>P063</v>
      </c>
      <c r="C36" s="15" t="str">
        <f>IFERROR(INDEX('Raw Data'!$B$2:$B$201,MATCH(ROW()-4,'Raw Data'!$L$2:$L$201,0)),"")</f>
        <v>Ajay Ghosh</v>
      </c>
      <c r="D36" s="18" t="str">
        <f>IFERROR(INDEX('Raw Data'!$D$2:$D$201,MATCH(ROW()-4,'Raw Data'!$L$2:$L$201,0)),"")</f>
        <v>SQL for Beginners</v>
      </c>
      <c r="E36" s="18" t="str">
        <f>IFERROR(INDEX('Raw Data'!$E$2:$E$201,MATCH(ROW()-4,'Raw Data'!$L$2:$L$201,0)),"")</f>
        <v>B</v>
      </c>
      <c r="F36" s="18" t="str">
        <f>IFERROR(INDEX('Raw Data'!$C$2:$C$201,MATCH(ROW()-4,'Raw Data'!$L$2:$L$201,0)),"")</f>
        <v>Registered</v>
      </c>
      <c r="G36" s="18" t="str">
        <f>IFERROR(INDEX('Raw Data'!$K$2:$K$201,MATCH(ROW()-4,'Raw Data'!$L$2:$L$201,0)),"")</f>
        <v>Follow up on absence</v>
      </c>
      <c r="H36" s="18" t="str">
        <f t="shared" si="1"/>
        <v>High</v>
      </c>
      <c r="I36" s="18" t="str">
        <f t="shared" si="2"/>
        <v>Learning Ops</v>
      </c>
      <c r="J36" s="19">
        <f>IFERROR(INDEX('Raw Data'!$G$2:$G$201,MATCH(ROW()-4,'Raw Data'!$L$2:$L$201,0))+7,"")</f>
        <v>46204</v>
      </c>
      <c r="K36" s="18" t="str">
        <f t="shared" si="3"/>
        <v>Open</v>
      </c>
    </row>
    <row r="37" spans="1:11" x14ac:dyDescent="0.3">
      <c r="A37" s="18" t="str">
        <f t="shared" ref="A37:A68" si="4">"ACT-"&amp;TEXT(ROW()-4,"000")</f>
        <v>ACT-033</v>
      </c>
      <c r="B37" s="18" t="str">
        <f>IFERROR(INDEX('Raw Data'!$A$2:$A$201,MATCH(ROW()-4,'Raw Data'!$L$2:$L$201,0)),"")</f>
        <v>P064</v>
      </c>
      <c r="C37" s="15" t="str">
        <f>IFERROR(INDEX('Raw Data'!$B$2:$B$201,MATCH(ROW()-4,'Raw Data'!$L$2:$L$201,0)),"")</f>
        <v>Gaurav Mukherjee</v>
      </c>
      <c r="D37" s="18" t="str">
        <f>IFERROR(INDEX('Raw Data'!$D$2:$D$201,MATCH(ROW()-4,'Raw Data'!$L$2:$L$201,0)),"")</f>
        <v>Leadership Essentials</v>
      </c>
      <c r="E37" s="18" t="str">
        <f>IFERROR(INDEX('Raw Data'!$E$2:$E$201,MATCH(ROW()-4,'Raw Data'!$L$2:$L$201,0)),"")</f>
        <v>D</v>
      </c>
      <c r="F37" s="18" t="str">
        <f>IFERROR(INDEX('Raw Data'!$C$2:$C$201,MATCH(ROW()-4,'Raw Data'!$L$2:$L$201,0)),"")</f>
        <v>Waitlisted</v>
      </c>
      <c r="G37" s="18" t="str">
        <f>IFERROR(INDEX('Raw Data'!$K$2:$K$201,MATCH(ROW()-4,'Raw Data'!$L$2:$L$201,0)),"")</f>
        <v>Resolve waitlist</v>
      </c>
      <c r="H37" s="18" t="str">
        <f t="shared" ref="H37:H68" si="5">IF($G37="","",IF(OR($G37="Follow up on absence",$G37="Resolve waitlist",$G37="Follow up - dropped participant"),"High","Medium"))</f>
        <v>High</v>
      </c>
      <c r="I37" s="18" t="str">
        <f t="shared" ref="I37:I68" si="6">IF($G37="","",IF($G37="Resolve waitlist","Program Coordinator","Learning Ops"))</f>
        <v>Program Coordinator</v>
      </c>
      <c r="J37" s="19">
        <f>IFERROR(INDEX('Raw Data'!$G$2:$G$201,MATCH(ROW()-4,'Raw Data'!$L$2:$L$201,0))+7,"")</f>
        <v>46222</v>
      </c>
      <c r="K37" s="18" t="str">
        <f t="shared" ref="K37:K68" si="7">IF($G37="","","Open")</f>
        <v>Open</v>
      </c>
    </row>
    <row r="38" spans="1:11" x14ac:dyDescent="0.3">
      <c r="A38" s="18" t="str">
        <f t="shared" si="4"/>
        <v>ACT-034</v>
      </c>
      <c r="B38" s="18" t="str">
        <f>IFERROR(INDEX('Raw Data'!$A$2:$A$201,MATCH(ROW()-4,'Raw Data'!$L$2:$L$201,0)),"")</f>
        <v>P065</v>
      </c>
      <c r="C38" s="15" t="str">
        <f>IFERROR(INDEX('Raw Data'!$B$2:$B$201,MATCH(ROW()-4,'Raw Data'!$L$2:$L$201,0)),"")</f>
        <v>Deepak Menon</v>
      </c>
      <c r="D38" s="18" t="str">
        <f>IFERROR(INDEX('Raw Data'!$D$2:$D$201,MATCH(ROW()-4,'Raw Data'!$L$2:$L$201,0)),"")</f>
        <v>Data Analytics Basics</v>
      </c>
      <c r="E38" s="18" t="str">
        <f>IFERROR(INDEX('Raw Data'!$E$2:$E$201,MATCH(ROW()-4,'Raw Data'!$L$2:$L$201,0)),"")</f>
        <v>C</v>
      </c>
      <c r="F38" s="18" t="str">
        <f>IFERROR(INDEX('Raw Data'!$C$2:$C$201,MATCH(ROW()-4,'Raw Data'!$L$2:$L$201,0)),"")</f>
        <v>Registered</v>
      </c>
      <c r="G38" s="18" t="str">
        <f>IFERROR(INDEX('Raw Data'!$K$2:$K$201,MATCH(ROW()-4,'Raw Data'!$L$2:$L$201,0)),"")</f>
        <v>Follow up on absence</v>
      </c>
      <c r="H38" s="18" t="str">
        <f t="shared" si="5"/>
        <v>High</v>
      </c>
      <c r="I38" s="18" t="str">
        <f t="shared" si="6"/>
        <v>Learning Ops</v>
      </c>
      <c r="J38" s="19">
        <f>IFERROR(INDEX('Raw Data'!$G$2:$G$201,MATCH(ROW()-4,'Raw Data'!$L$2:$L$201,0))+7,"")</f>
        <v>46171</v>
      </c>
      <c r="K38" s="18" t="str">
        <f t="shared" si="7"/>
        <v>Open</v>
      </c>
    </row>
    <row r="39" spans="1:11" x14ac:dyDescent="0.3">
      <c r="A39" s="18" t="str">
        <f t="shared" si="4"/>
        <v>ACT-035</v>
      </c>
      <c r="B39" s="18" t="str">
        <f>IFERROR(INDEX('Raw Data'!$A$2:$A$201,MATCH(ROW()-4,'Raw Data'!$L$2:$L$201,0)),"")</f>
        <v>P067</v>
      </c>
      <c r="C39" s="15" t="str">
        <f>IFERROR(INDEX('Raw Data'!$B$2:$B$201,MATCH(ROW()-4,'Raw Data'!$L$2:$L$201,0)),"")</f>
        <v>Swati Patel</v>
      </c>
      <c r="D39" s="18" t="str">
        <f>IFERROR(INDEX('Raw Data'!$D$2:$D$201,MATCH(ROW()-4,'Raw Data'!$L$2:$L$201,0)),"")</f>
        <v>Communication Skills</v>
      </c>
      <c r="E39" s="18" t="str">
        <f>IFERROR(INDEX('Raw Data'!$E$2:$E$201,MATCH(ROW()-4,'Raw Data'!$L$2:$L$201,0)),"")</f>
        <v>C</v>
      </c>
      <c r="F39" s="18" t="str">
        <f>IFERROR(INDEX('Raw Data'!$C$2:$C$201,MATCH(ROW()-4,'Raw Data'!$L$2:$L$201,0)),"")</f>
        <v>Registered</v>
      </c>
      <c r="G39" s="18" t="str">
        <f>IFERROR(INDEX('Raw Data'!$K$2:$K$201,MATCH(ROW()-4,'Raw Data'!$L$2:$L$201,0)),"")</f>
        <v>Collect interim feedback</v>
      </c>
      <c r="H39" s="18" t="str">
        <f t="shared" si="5"/>
        <v>Medium</v>
      </c>
      <c r="I39" s="18" t="str">
        <f t="shared" si="6"/>
        <v>Learning Ops</v>
      </c>
      <c r="J39" s="19">
        <f>IFERROR(INDEX('Raw Data'!$G$2:$G$201,MATCH(ROW()-4,'Raw Data'!$L$2:$L$201,0))+7,"")</f>
        <v>46183</v>
      </c>
      <c r="K39" s="18" t="str">
        <f t="shared" si="7"/>
        <v>Open</v>
      </c>
    </row>
    <row r="40" spans="1:11" x14ac:dyDescent="0.3">
      <c r="A40" s="18" t="str">
        <f t="shared" si="4"/>
        <v>ACT-036</v>
      </c>
      <c r="B40" s="18" t="str">
        <f>IFERROR(INDEX('Raw Data'!$A$2:$A$201,MATCH(ROW()-4,'Raw Data'!$L$2:$L$201,0)),"")</f>
        <v>P068</v>
      </c>
      <c r="C40" s="15" t="str">
        <f>IFERROR(INDEX('Raw Data'!$B$2:$B$201,MATCH(ROW()-4,'Raw Data'!$L$2:$L$201,0)),"")</f>
        <v>Anita Iyer</v>
      </c>
      <c r="D40" s="18" t="str">
        <f>IFERROR(INDEX('Raw Data'!$D$2:$D$201,MATCH(ROW()-4,'Raw Data'!$L$2:$L$201,0)),"")</f>
        <v>Leadership Essentials</v>
      </c>
      <c r="E40" s="18" t="str">
        <f>IFERROR(INDEX('Raw Data'!$E$2:$E$201,MATCH(ROW()-4,'Raw Data'!$L$2:$L$201,0)),"")</f>
        <v>B</v>
      </c>
      <c r="F40" s="18" t="str">
        <f>IFERROR(INDEX('Raw Data'!$C$2:$C$201,MATCH(ROW()-4,'Raw Data'!$L$2:$L$201,0)),"")</f>
        <v>Registered</v>
      </c>
      <c r="G40" s="18" t="str">
        <f>IFERROR(INDEX('Raw Data'!$K$2:$K$201,MATCH(ROW()-4,'Raw Data'!$L$2:$L$201,0)),"")</f>
        <v>Send completion certificate</v>
      </c>
      <c r="H40" s="18" t="str">
        <f t="shared" si="5"/>
        <v>Medium</v>
      </c>
      <c r="I40" s="18" t="str">
        <f t="shared" si="6"/>
        <v>Learning Ops</v>
      </c>
      <c r="J40" s="19">
        <f>IFERROR(INDEX('Raw Data'!$G$2:$G$201,MATCH(ROW()-4,'Raw Data'!$L$2:$L$201,0))+7,"")</f>
        <v>46216</v>
      </c>
      <c r="K40" s="18" t="str">
        <f t="shared" si="7"/>
        <v>Open</v>
      </c>
    </row>
    <row r="41" spans="1:11" x14ac:dyDescent="0.3">
      <c r="A41" s="18" t="str">
        <f t="shared" si="4"/>
        <v>ACT-037</v>
      </c>
      <c r="B41" s="18" t="str">
        <f>IFERROR(INDEX('Raw Data'!$A$2:$A$201,MATCH(ROW()-4,'Raw Data'!$L$2:$L$201,0)),"")</f>
        <v>P070</v>
      </c>
      <c r="C41" s="15" t="str">
        <f>IFERROR(INDEX('Raw Data'!$B$2:$B$201,MATCH(ROW()-4,'Raw Data'!$L$2:$L$201,0)),"")</f>
        <v>Kiara Mukherjee</v>
      </c>
      <c r="D41" s="18" t="str">
        <f>IFERROR(INDEX('Raw Data'!$D$2:$D$201,MATCH(ROW()-4,'Raw Data'!$L$2:$L$201,0)),"")</f>
        <v>SQL for Beginners</v>
      </c>
      <c r="E41" s="18" t="str">
        <f>IFERROR(INDEX('Raw Data'!$E$2:$E$201,MATCH(ROW()-4,'Raw Data'!$L$2:$L$201,0)),"")</f>
        <v>A</v>
      </c>
      <c r="F41" s="18" t="str">
        <f>IFERROR(INDEX('Raw Data'!$C$2:$C$201,MATCH(ROW()-4,'Raw Data'!$L$2:$L$201,0)),"")</f>
        <v>Waitlisted</v>
      </c>
      <c r="G41" s="18" t="str">
        <f>IFERROR(INDEX('Raw Data'!$K$2:$K$201,MATCH(ROW()-4,'Raw Data'!$L$2:$L$201,0)),"")</f>
        <v>Resolve waitlist</v>
      </c>
      <c r="H41" s="18" t="str">
        <f t="shared" si="5"/>
        <v>High</v>
      </c>
      <c r="I41" s="18" t="str">
        <f t="shared" si="6"/>
        <v>Program Coordinator</v>
      </c>
      <c r="J41" s="19">
        <f>IFERROR(INDEX('Raw Data'!$G$2:$G$201,MATCH(ROW()-4,'Raw Data'!$L$2:$L$201,0))+7,"")</f>
        <v>46201</v>
      </c>
      <c r="K41" s="18" t="str">
        <f t="shared" si="7"/>
        <v>Open</v>
      </c>
    </row>
    <row r="42" spans="1:11" x14ac:dyDescent="0.3">
      <c r="A42" s="18" t="str">
        <f t="shared" si="4"/>
        <v>ACT-038</v>
      </c>
      <c r="B42" s="18" t="str">
        <f>IFERROR(INDEX('Raw Data'!$A$2:$A$201,MATCH(ROW()-4,'Raw Data'!$L$2:$L$201,0)),"")</f>
        <v>P071</v>
      </c>
      <c r="C42" s="15" t="str">
        <f>IFERROR(INDEX('Raw Data'!$B$2:$B$201,MATCH(ROW()-4,'Raw Data'!$L$2:$L$201,0)),"")</f>
        <v>Rahul Kumar</v>
      </c>
      <c r="D42" s="18" t="str">
        <f>IFERROR(INDEX('Raw Data'!$D$2:$D$201,MATCH(ROW()-4,'Raw Data'!$L$2:$L$201,0)),"")</f>
        <v>Project Management 101</v>
      </c>
      <c r="E42" s="18" t="str">
        <f>IFERROR(INDEX('Raw Data'!$E$2:$E$201,MATCH(ROW()-4,'Raw Data'!$L$2:$L$201,0)),"")</f>
        <v>B</v>
      </c>
      <c r="F42" s="18" t="str">
        <f>IFERROR(INDEX('Raw Data'!$C$2:$C$201,MATCH(ROW()-4,'Raw Data'!$L$2:$L$201,0)),"")</f>
        <v>Registered</v>
      </c>
      <c r="G42" s="18" t="str">
        <f>IFERROR(INDEX('Raw Data'!$K$2:$K$201,MATCH(ROW()-4,'Raw Data'!$L$2:$L$201,0)),"")</f>
        <v>Follow up on absence</v>
      </c>
      <c r="H42" s="18" t="str">
        <f t="shared" si="5"/>
        <v>High</v>
      </c>
      <c r="I42" s="18" t="str">
        <f t="shared" si="6"/>
        <v>Learning Ops</v>
      </c>
      <c r="J42" s="19">
        <f>IFERROR(INDEX('Raw Data'!$G$2:$G$201,MATCH(ROW()-4,'Raw Data'!$L$2:$L$201,0))+7,"")</f>
        <v>46192</v>
      </c>
      <c r="K42" s="18" t="str">
        <f t="shared" si="7"/>
        <v>Open</v>
      </c>
    </row>
    <row r="43" spans="1:11" x14ac:dyDescent="0.3">
      <c r="A43" s="18" t="str">
        <f t="shared" si="4"/>
        <v>ACT-039</v>
      </c>
      <c r="B43" s="18" t="str">
        <f>IFERROR(INDEX('Raw Data'!$A$2:$A$201,MATCH(ROW()-4,'Raw Data'!$L$2:$L$201,0)),"")</f>
        <v>P072</v>
      </c>
      <c r="C43" s="15" t="str">
        <f>IFERROR(INDEX('Raw Data'!$B$2:$B$201,MATCH(ROW()-4,'Raw Data'!$L$2:$L$201,0)),"")</f>
        <v>Ishita Bhat</v>
      </c>
      <c r="D43" s="18" t="str">
        <f>IFERROR(INDEX('Raw Data'!$D$2:$D$201,MATCH(ROW()-4,'Raw Data'!$L$2:$L$201,0)),"")</f>
        <v>Leadership Essentials</v>
      </c>
      <c r="E43" s="18" t="str">
        <f>IFERROR(INDEX('Raw Data'!$E$2:$E$201,MATCH(ROW()-4,'Raw Data'!$L$2:$L$201,0)),"")</f>
        <v>C</v>
      </c>
      <c r="F43" s="18" t="str">
        <f>IFERROR(INDEX('Raw Data'!$C$2:$C$201,MATCH(ROW()-4,'Raw Data'!$L$2:$L$201,0)),"")</f>
        <v>Waitlisted</v>
      </c>
      <c r="G43" s="18" t="str">
        <f>IFERROR(INDEX('Raw Data'!$K$2:$K$201,MATCH(ROW()-4,'Raw Data'!$L$2:$L$201,0)),"")</f>
        <v>Resolve waitlist</v>
      </c>
      <c r="H43" s="18" t="str">
        <f t="shared" si="5"/>
        <v>High</v>
      </c>
      <c r="I43" s="18" t="str">
        <f t="shared" si="6"/>
        <v>Program Coordinator</v>
      </c>
      <c r="J43" s="19">
        <f>IFERROR(INDEX('Raw Data'!$G$2:$G$201,MATCH(ROW()-4,'Raw Data'!$L$2:$L$201,0))+7,"")</f>
        <v>46219</v>
      </c>
      <c r="K43" s="18" t="str">
        <f t="shared" si="7"/>
        <v>Open</v>
      </c>
    </row>
    <row r="44" spans="1:11" x14ac:dyDescent="0.3">
      <c r="A44" s="18" t="str">
        <f t="shared" si="4"/>
        <v>ACT-040</v>
      </c>
      <c r="B44" s="18" t="str">
        <f>IFERROR(INDEX('Raw Data'!$A$2:$A$201,MATCH(ROW()-4,'Raw Data'!$L$2:$L$201,0)),"")</f>
        <v>P074</v>
      </c>
      <c r="C44" s="15" t="str">
        <f>IFERROR(INDEX('Raw Data'!$B$2:$B$201,MATCH(ROW()-4,'Raw Data'!$L$2:$L$201,0)),"")</f>
        <v>Manoj Mukherjee</v>
      </c>
      <c r="D44" s="18" t="str">
        <f>IFERROR(INDEX('Raw Data'!$D$2:$D$201,MATCH(ROW()-4,'Raw Data'!$L$2:$L$201,0)),"")</f>
        <v>Leadership Essentials</v>
      </c>
      <c r="E44" s="18" t="str">
        <f>IFERROR(INDEX('Raw Data'!$E$2:$E$201,MATCH(ROW()-4,'Raw Data'!$L$2:$L$201,0)),"")</f>
        <v>B</v>
      </c>
      <c r="F44" s="18" t="str">
        <f>IFERROR(INDEX('Raw Data'!$C$2:$C$201,MATCH(ROW()-4,'Raw Data'!$L$2:$L$201,0)),"")</f>
        <v>Registered</v>
      </c>
      <c r="G44" s="18" t="str">
        <f>IFERROR(INDEX('Raw Data'!$K$2:$K$201,MATCH(ROW()-4,'Raw Data'!$L$2:$L$201,0)),"")</f>
        <v>Send completion certificate</v>
      </c>
      <c r="H44" s="18" t="str">
        <f t="shared" si="5"/>
        <v>Medium</v>
      </c>
      <c r="I44" s="18" t="str">
        <f t="shared" si="6"/>
        <v>Learning Ops</v>
      </c>
      <c r="J44" s="19">
        <f>IFERROR(INDEX('Raw Data'!$G$2:$G$201,MATCH(ROW()-4,'Raw Data'!$L$2:$L$201,0))+7,"")</f>
        <v>46216</v>
      </c>
      <c r="K44" s="18" t="str">
        <f t="shared" si="7"/>
        <v>Open</v>
      </c>
    </row>
    <row r="45" spans="1:11" x14ac:dyDescent="0.3">
      <c r="A45" s="18" t="str">
        <f t="shared" si="4"/>
        <v>ACT-041</v>
      </c>
      <c r="B45" s="18" t="str">
        <f>IFERROR(INDEX('Raw Data'!$A$2:$A$201,MATCH(ROW()-4,'Raw Data'!$L$2:$L$201,0)),"")</f>
        <v>P075</v>
      </c>
      <c r="C45" s="15" t="str">
        <f>IFERROR(INDEX('Raw Data'!$B$2:$B$201,MATCH(ROW()-4,'Raw Data'!$L$2:$L$201,0)),"")</f>
        <v>Usha Reddy</v>
      </c>
      <c r="D45" s="18" t="str">
        <f>IFERROR(INDEX('Raw Data'!$D$2:$D$201,MATCH(ROW()-4,'Raw Data'!$L$2:$L$201,0)),"")</f>
        <v>Leadership Essentials</v>
      </c>
      <c r="E45" s="18" t="str">
        <f>IFERROR(INDEX('Raw Data'!$E$2:$E$201,MATCH(ROW()-4,'Raw Data'!$L$2:$L$201,0)),"")</f>
        <v>D</v>
      </c>
      <c r="F45" s="18" t="str">
        <f>IFERROR(INDEX('Raw Data'!$C$2:$C$201,MATCH(ROW()-4,'Raw Data'!$L$2:$L$201,0)),"")</f>
        <v>Waitlisted</v>
      </c>
      <c r="G45" s="18" t="str">
        <f>IFERROR(INDEX('Raw Data'!$K$2:$K$201,MATCH(ROW()-4,'Raw Data'!$L$2:$L$201,0)),"")</f>
        <v>Resolve waitlist</v>
      </c>
      <c r="H45" s="18" t="str">
        <f t="shared" si="5"/>
        <v>High</v>
      </c>
      <c r="I45" s="18" t="str">
        <f t="shared" si="6"/>
        <v>Program Coordinator</v>
      </c>
      <c r="J45" s="19">
        <f>IFERROR(INDEX('Raw Data'!$G$2:$G$201,MATCH(ROW()-4,'Raw Data'!$L$2:$L$201,0))+7,"")</f>
        <v>46222</v>
      </c>
      <c r="K45" s="18" t="str">
        <f t="shared" si="7"/>
        <v>Open</v>
      </c>
    </row>
    <row r="46" spans="1:11" x14ac:dyDescent="0.3">
      <c r="A46" s="18" t="str">
        <f t="shared" si="4"/>
        <v>ACT-042</v>
      </c>
      <c r="B46" s="18" t="str">
        <f>IFERROR(INDEX('Raw Data'!$A$2:$A$201,MATCH(ROW()-4,'Raw Data'!$L$2:$L$201,0)),"")</f>
        <v>P077</v>
      </c>
      <c r="C46" s="15" t="str">
        <f>IFERROR(INDEX('Raw Data'!$B$2:$B$201,MATCH(ROW()-4,'Raw Data'!$L$2:$L$201,0)),"")</f>
        <v>Meera Chawla</v>
      </c>
      <c r="D46" s="18" t="str">
        <f>IFERROR(INDEX('Raw Data'!$D$2:$D$201,MATCH(ROW()-4,'Raw Data'!$L$2:$L$201,0)),"")</f>
        <v>Project Management 101</v>
      </c>
      <c r="E46" s="18" t="str">
        <f>IFERROR(INDEX('Raw Data'!$E$2:$E$201,MATCH(ROW()-4,'Raw Data'!$L$2:$L$201,0)),"")</f>
        <v>A</v>
      </c>
      <c r="F46" s="18" t="str">
        <f>IFERROR(INDEX('Raw Data'!$C$2:$C$201,MATCH(ROW()-4,'Raw Data'!$L$2:$L$201,0)),"")</f>
        <v>Registered</v>
      </c>
      <c r="G46" s="18" t="str">
        <f>IFERROR(INDEX('Raw Data'!$K$2:$K$201,MATCH(ROW()-4,'Raw Data'!$L$2:$L$201,0)),"")</f>
        <v>Collect interim feedback</v>
      </c>
      <c r="H46" s="18" t="str">
        <f t="shared" si="5"/>
        <v>Medium</v>
      </c>
      <c r="I46" s="18" t="str">
        <f t="shared" si="6"/>
        <v>Learning Ops</v>
      </c>
      <c r="J46" s="19">
        <f>IFERROR(INDEX('Raw Data'!$G$2:$G$201,MATCH(ROW()-4,'Raw Data'!$L$2:$L$201,0))+7,"")</f>
        <v>46189</v>
      </c>
      <c r="K46" s="18" t="str">
        <f t="shared" si="7"/>
        <v>Open</v>
      </c>
    </row>
    <row r="47" spans="1:11" x14ac:dyDescent="0.3">
      <c r="A47" s="18" t="str">
        <f t="shared" si="4"/>
        <v>ACT-043</v>
      </c>
      <c r="B47" s="18" t="str">
        <f>IFERROR(INDEX('Raw Data'!$A$2:$A$201,MATCH(ROW()-4,'Raw Data'!$L$2:$L$201,0)),"")</f>
        <v>P082</v>
      </c>
      <c r="C47" s="15" t="str">
        <f>IFERROR(INDEX('Raw Data'!$B$2:$B$201,MATCH(ROW()-4,'Raw Data'!$L$2:$L$201,0)),"")</f>
        <v>Ajay Rao</v>
      </c>
      <c r="D47" s="18" t="str">
        <f>IFERROR(INDEX('Raw Data'!$D$2:$D$201,MATCH(ROW()-4,'Raw Data'!$L$2:$L$201,0)),"")</f>
        <v>Project Management 101</v>
      </c>
      <c r="E47" s="18" t="str">
        <f>IFERROR(INDEX('Raw Data'!$E$2:$E$201,MATCH(ROW()-4,'Raw Data'!$L$2:$L$201,0)),"")</f>
        <v>C</v>
      </c>
      <c r="F47" s="18" t="str">
        <f>IFERROR(INDEX('Raw Data'!$C$2:$C$201,MATCH(ROW()-4,'Raw Data'!$L$2:$L$201,0)),"")</f>
        <v>Registered</v>
      </c>
      <c r="G47" s="18" t="str">
        <f>IFERROR(INDEX('Raw Data'!$K$2:$K$201,MATCH(ROW()-4,'Raw Data'!$L$2:$L$201,0)),"")</f>
        <v>Follow up - dropped participant</v>
      </c>
      <c r="H47" s="18" t="str">
        <f t="shared" si="5"/>
        <v>High</v>
      </c>
      <c r="I47" s="18" t="str">
        <f t="shared" si="6"/>
        <v>Learning Ops</v>
      </c>
      <c r="J47" s="19">
        <f>IFERROR(INDEX('Raw Data'!$G$2:$G$201,MATCH(ROW()-4,'Raw Data'!$L$2:$L$201,0))+7,"")</f>
        <v>46195</v>
      </c>
      <c r="K47" s="18" t="str">
        <f t="shared" si="7"/>
        <v>Open</v>
      </c>
    </row>
    <row r="48" spans="1:11" x14ac:dyDescent="0.3">
      <c r="A48" s="18" t="str">
        <f t="shared" si="4"/>
        <v>ACT-044</v>
      </c>
      <c r="B48" s="18" t="str">
        <f>IFERROR(INDEX('Raw Data'!$A$2:$A$201,MATCH(ROW()-4,'Raw Data'!$L$2:$L$201,0)),"")</f>
        <v>P083</v>
      </c>
      <c r="C48" s="15" t="str">
        <f>IFERROR(INDEX('Raw Data'!$B$2:$B$201,MATCH(ROW()-4,'Raw Data'!$L$2:$L$201,0)),"")</f>
        <v>Priya Malhotra</v>
      </c>
      <c r="D48" s="18" t="str">
        <f>IFERROR(INDEX('Raw Data'!$D$2:$D$201,MATCH(ROW()-4,'Raw Data'!$L$2:$L$201,0)),"")</f>
        <v>SQL for Beginners</v>
      </c>
      <c r="E48" s="18" t="str">
        <f>IFERROR(INDEX('Raw Data'!$E$2:$E$201,MATCH(ROW()-4,'Raw Data'!$L$2:$L$201,0)),"")</f>
        <v>A</v>
      </c>
      <c r="F48" s="18" t="str">
        <f>IFERROR(INDEX('Raw Data'!$C$2:$C$201,MATCH(ROW()-4,'Raw Data'!$L$2:$L$201,0)),"")</f>
        <v>Registered</v>
      </c>
      <c r="G48" s="18" t="str">
        <f>IFERROR(INDEX('Raw Data'!$K$2:$K$201,MATCH(ROW()-4,'Raw Data'!$L$2:$L$201,0)),"")</f>
        <v>Collect interim feedback</v>
      </c>
      <c r="H48" s="18" t="str">
        <f t="shared" si="5"/>
        <v>Medium</v>
      </c>
      <c r="I48" s="18" t="str">
        <f t="shared" si="6"/>
        <v>Learning Ops</v>
      </c>
      <c r="J48" s="19">
        <f>IFERROR(INDEX('Raw Data'!$G$2:$G$201,MATCH(ROW()-4,'Raw Data'!$L$2:$L$201,0))+7,"")</f>
        <v>46201</v>
      </c>
      <c r="K48" s="18" t="str">
        <f t="shared" si="7"/>
        <v>Open</v>
      </c>
    </row>
    <row r="49" spans="1:11" x14ac:dyDescent="0.3">
      <c r="A49" s="18" t="str">
        <f t="shared" si="4"/>
        <v>ACT-045</v>
      </c>
      <c r="B49" s="18" t="str">
        <f>IFERROR(INDEX('Raw Data'!$A$2:$A$201,MATCH(ROW()-4,'Raw Data'!$L$2:$L$201,0)),"")</f>
        <v>P084</v>
      </c>
      <c r="C49" s="15" t="str">
        <f>IFERROR(INDEX('Raw Data'!$B$2:$B$201,MATCH(ROW()-4,'Raw Data'!$L$2:$L$201,0)),"")</f>
        <v>Ananya Mukherjee</v>
      </c>
      <c r="D49" s="18" t="str">
        <f>IFERROR(INDEX('Raw Data'!$D$2:$D$201,MATCH(ROW()-4,'Raw Data'!$L$2:$L$201,0)),"")</f>
        <v>Leadership Essentials</v>
      </c>
      <c r="E49" s="18" t="str">
        <f>IFERROR(INDEX('Raw Data'!$E$2:$E$201,MATCH(ROW()-4,'Raw Data'!$L$2:$L$201,0)),"")</f>
        <v>D</v>
      </c>
      <c r="F49" s="18" t="str">
        <f>IFERROR(INDEX('Raw Data'!$C$2:$C$201,MATCH(ROW()-4,'Raw Data'!$L$2:$L$201,0)),"")</f>
        <v>Registered</v>
      </c>
      <c r="G49" s="18" t="str">
        <f>IFERROR(INDEX('Raw Data'!$K$2:$K$201,MATCH(ROW()-4,'Raw Data'!$L$2:$L$201,0)),"")</f>
        <v>Follow up on absence</v>
      </c>
      <c r="H49" s="18" t="str">
        <f t="shared" si="5"/>
        <v>High</v>
      </c>
      <c r="I49" s="18" t="str">
        <f t="shared" si="6"/>
        <v>Learning Ops</v>
      </c>
      <c r="J49" s="19">
        <f>IFERROR(INDEX('Raw Data'!$G$2:$G$201,MATCH(ROW()-4,'Raw Data'!$L$2:$L$201,0))+7,"")</f>
        <v>46222</v>
      </c>
      <c r="K49" s="18" t="str">
        <f t="shared" si="7"/>
        <v>Open</v>
      </c>
    </row>
    <row r="50" spans="1:11" x14ac:dyDescent="0.3">
      <c r="A50" s="18" t="str">
        <f t="shared" si="4"/>
        <v>ACT-046</v>
      </c>
      <c r="B50" s="18" t="str">
        <f>IFERROR(INDEX('Raw Data'!$A$2:$A$201,MATCH(ROW()-4,'Raw Data'!$L$2:$L$201,0)),"")</f>
        <v>P085</v>
      </c>
      <c r="C50" s="15" t="str">
        <f>IFERROR(INDEX('Raw Data'!$B$2:$B$201,MATCH(ROW()-4,'Raw Data'!$L$2:$L$201,0)),"")</f>
        <v>Ishita Shetty</v>
      </c>
      <c r="D50" s="18" t="str">
        <f>IFERROR(INDEX('Raw Data'!$D$2:$D$201,MATCH(ROW()-4,'Raw Data'!$L$2:$L$201,0)),"")</f>
        <v>Excel Fundamentals</v>
      </c>
      <c r="E50" s="18" t="str">
        <f>IFERROR(INDEX('Raw Data'!$E$2:$E$201,MATCH(ROW()-4,'Raw Data'!$L$2:$L$201,0)),"")</f>
        <v>C</v>
      </c>
      <c r="F50" s="18" t="str">
        <f>IFERROR(INDEX('Raw Data'!$C$2:$C$201,MATCH(ROW()-4,'Raw Data'!$L$2:$L$201,0)),"")</f>
        <v>Registered</v>
      </c>
      <c r="G50" s="18" t="str">
        <f>IFERROR(INDEX('Raw Data'!$K$2:$K$201,MATCH(ROW()-4,'Raw Data'!$L$2:$L$201,0)),"")</f>
        <v>Follow up on absence</v>
      </c>
      <c r="H50" s="18" t="str">
        <f t="shared" si="5"/>
        <v>High</v>
      </c>
      <c r="I50" s="18" t="str">
        <f t="shared" si="6"/>
        <v>Learning Ops</v>
      </c>
      <c r="J50" s="19">
        <f>IFERROR(INDEX('Raw Data'!$G$2:$G$201,MATCH(ROW()-4,'Raw Data'!$L$2:$L$201,0))+7,"")</f>
        <v>46159</v>
      </c>
      <c r="K50" s="18" t="str">
        <f t="shared" si="7"/>
        <v>Open</v>
      </c>
    </row>
    <row r="51" spans="1:11" x14ac:dyDescent="0.3">
      <c r="A51" s="18" t="str">
        <f t="shared" si="4"/>
        <v>ACT-047</v>
      </c>
      <c r="B51" s="18" t="str">
        <f>IFERROR(INDEX('Raw Data'!$A$2:$A$201,MATCH(ROW()-4,'Raw Data'!$L$2:$L$201,0)),"")</f>
        <v>P086</v>
      </c>
      <c r="C51" s="15" t="str">
        <f>IFERROR(INDEX('Raw Data'!$B$2:$B$201,MATCH(ROW()-4,'Raw Data'!$L$2:$L$201,0)),"")</f>
        <v>Amit Chatterjee</v>
      </c>
      <c r="D51" s="18" t="str">
        <f>IFERROR(INDEX('Raw Data'!$D$2:$D$201,MATCH(ROW()-4,'Raw Data'!$L$2:$L$201,0)),"")</f>
        <v>Leadership Essentials</v>
      </c>
      <c r="E51" s="18" t="str">
        <f>IFERROR(INDEX('Raw Data'!$E$2:$E$201,MATCH(ROW()-4,'Raw Data'!$L$2:$L$201,0)),"")</f>
        <v>B</v>
      </c>
      <c r="F51" s="18" t="str">
        <f>IFERROR(INDEX('Raw Data'!$C$2:$C$201,MATCH(ROW()-4,'Raw Data'!$L$2:$L$201,0)),"")</f>
        <v>Registered</v>
      </c>
      <c r="G51" s="18" t="str">
        <f>IFERROR(INDEX('Raw Data'!$K$2:$K$201,MATCH(ROW()-4,'Raw Data'!$L$2:$L$201,0)),"")</f>
        <v>Send completion certificate</v>
      </c>
      <c r="H51" s="18" t="str">
        <f t="shared" si="5"/>
        <v>Medium</v>
      </c>
      <c r="I51" s="18" t="str">
        <f t="shared" si="6"/>
        <v>Learning Ops</v>
      </c>
      <c r="J51" s="19">
        <f>IFERROR(INDEX('Raw Data'!$G$2:$G$201,MATCH(ROW()-4,'Raw Data'!$L$2:$L$201,0))+7,"")</f>
        <v>46216</v>
      </c>
      <c r="K51" s="18" t="str">
        <f t="shared" si="7"/>
        <v>Open</v>
      </c>
    </row>
    <row r="52" spans="1:11" x14ac:dyDescent="0.3">
      <c r="A52" s="18" t="str">
        <f t="shared" si="4"/>
        <v>ACT-048</v>
      </c>
      <c r="B52" s="18" t="str">
        <f>IFERROR(INDEX('Raw Data'!$A$2:$A$201,MATCH(ROW()-4,'Raw Data'!$L$2:$L$201,0)),"")</f>
        <v>P088</v>
      </c>
      <c r="C52" s="15" t="str">
        <f>IFERROR(INDEX('Raw Data'!$B$2:$B$201,MATCH(ROW()-4,'Raw Data'!$L$2:$L$201,0)),"")</f>
        <v>Ajay Joshi</v>
      </c>
      <c r="D52" s="18" t="str">
        <f>IFERROR(INDEX('Raw Data'!$D$2:$D$201,MATCH(ROW()-4,'Raw Data'!$L$2:$L$201,0)),"")</f>
        <v>Data Analytics Basics</v>
      </c>
      <c r="E52" s="18" t="str">
        <f>IFERROR(INDEX('Raw Data'!$E$2:$E$201,MATCH(ROW()-4,'Raw Data'!$L$2:$L$201,0)),"")</f>
        <v>D</v>
      </c>
      <c r="F52" s="18" t="str">
        <f>IFERROR(INDEX('Raw Data'!$C$2:$C$201,MATCH(ROW()-4,'Raw Data'!$L$2:$L$201,0)),"")</f>
        <v>Registered</v>
      </c>
      <c r="G52" s="18" t="str">
        <f>IFERROR(INDEX('Raw Data'!$K$2:$K$201,MATCH(ROW()-4,'Raw Data'!$L$2:$L$201,0)),"")</f>
        <v>Follow up on absence</v>
      </c>
      <c r="H52" s="18" t="str">
        <f t="shared" si="5"/>
        <v>High</v>
      </c>
      <c r="I52" s="18" t="str">
        <f t="shared" si="6"/>
        <v>Learning Ops</v>
      </c>
      <c r="J52" s="19">
        <f>IFERROR(INDEX('Raw Data'!$G$2:$G$201,MATCH(ROW()-4,'Raw Data'!$L$2:$L$201,0))+7,"")</f>
        <v>46174</v>
      </c>
      <c r="K52" s="18" t="str">
        <f t="shared" si="7"/>
        <v>Open</v>
      </c>
    </row>
    <row r="53" spans="1:11" x14ac:dyDescent="0.3">
      <c r="A53" s="18" t="str">
        <f t="shared" si="4"/>
        <v>ACT-049</v>
      </c>
      <c r="B53" s="18" t="str">
        <f>IFERROR(INDEX('Raw Data'!$A$2:$A$201,MATCH(ROW()-4,'Raw Data'!$L$2:$L$201,0)),"")</f>
        <v>P089</v>
      </c>
      <c r="C53" s="15" t="str">
        <f>IFERROR(INDEX('Raw Data'!$B$2:$B$201,MATCH(ROW()-4,'Raw Data'!$L$2:$L$201,0)),"")</f>
        <v>Radha Rao</v>
      </c>
      <c r="D53" s="18" t="str">
        <f>IFERROR(INDEX('Raw Data'!$D$2:$D$201,MATCH(ROW()-4,'Raw Data'!$L$2:$L$201,0)),"")</f>
        <v>Data Analytics Basics</v>
      </c>
      <c r="E53" s="18" t="str">
        <f>IFERROR(INDEX('Raw Data'!$E$2:$E$201,MATCH(ROW()-4,'Raw Data'!$L$2:$L$201,0)),"")</f>
        <v>D</v>
      </c>
      <c r="F53" s="18" t="str">
        <f>IFERROR(INDEX('Raw Data'!$C$2:$C$201,MATCH(ROW()-4,'Raw Data'!$L$2:$L$201,0)),"")</f>
        <v>Registered</v>
      </c>
      <c r="G53" s="18" t="str">
        <f>IFERROR(INDEX('Raw Data'!$K$2:$K$201,MATCH(ROW()-4,'Raw Data'!$L$2:$L$201,0)),"")</f>
        <v>Follow up - dropped participant</v>
      </c>
      <c r="H53" s="18" t="str">
        <f t="shared" si="5"/>
        <v>High</v>
      </c>
      <c r="I53" s="18" t="str">
        <f t="shared" si="6"/>
        <v>Learning Ops</v>
      </c>
      <c r="J53" s="19">
        <f>IFERROR(INDEX('Raw Data'!$G$2:$G$201,MATCH(ROW()-4,'Raw Data'!$L$2:$L$201,0))+7,"")</f>
        <v>46174</v>
      </c>
      <c r="K53" s="18" t="str">
        <f t="shared" si="7"/>
        <v>Open</v>
      </c>
    </row>
    <row r="54" spans="1:11" x14ac:dyDescent="0.3">
      <c r="A54" s="18" t="str">
        <f t="shared" si="4"/>
        <v>ACT-050</v>
      </c>
      <c r="B54" s="18" t="str">
        <f>IFERROR(INDEX('Raw Data'!$A$2:$A$201,MATCH(ROW()-4,'Raw Data'!$L$2:$L$201,0)),"")</f>
        <v>P090</v>
      </c>
      <c r="C54" s="15" t="str">
        <f>IFERROR(INDEX('Raw Data'!$B$2:$B$201,MATCH(ROW()-4,'Raw Data'!$L$2:$L$201,0)),"")</f>
        <v>Vivaan Verma</v>
      </c>
      <c r="D54" s="18" t="str">
        <f>IFERROR(INDEX('Raw Data'!$D$2:$D$201,MATCH(ROW()-4,'Raw Data'!$L$2:$L$201,0)),"")</f>
        <v>Data Analytics Basics</v>
      </c>
      <c r="E54" s="18" t="str">
        <f>IFERROR(INDEX('Raw Data'!$E$2:$E$201,MATCH(ROW()-4,'Raw Data'!$L$2:$L$201,0)),"")</f>
        <v>A</v>
      </c>
      <c r="F54" s="18" t="str">
        <f>IFERROR(INDEX('Raw Data'!$C$2:$C$201,MATCH(ROW()-4,'Raw Data'!$L$2:$L$201,0)),"")</f>
        <v>Waitlisted</v>
      </c>
      <c r="G54" s="18" t="str">
        <f>IFERROR(INDEX('Raw Data'!$K$2:$K$201,MATCH(ROW()-4,'Raw Data'!$L$2:$L$201,0)),"")</f>
        <v>Resolve waitlist</v>
      </c>
      <c r="H54" s="18" t="str">
        <f t="shared" si="5"/>
        <v>High</v>
      </c>
      <c r="I54" s="18" t="str">
        <f t="shared" si="6"/>
        <v>Program Coordinator</v>
      </c>
      <c r="J54" s="19">
        <f>IFERROR(INDEX('Raw Data'!$G$2:$G$201,MATCH(ROW()-4,'Raw Data'!$L$2:$L$201,0))+7,"")</f>
        <v>46165</v>
      </c>
      <c r="K54" s="18" t="str">
        <f t="shared" si="7"/>
        <v>Open</v>
      </c>
    </row>
    <row r="55" spans="1:11" x14ac:dyDescent="0.3">
      <c r="A55" s="18" t="str">
        <f t="shared" si="4"/>
        <v>ACT-051</v>
      </c>
      <c r="B55" s="18" t="str">
        <f>IFERROR(INDEX('Raw Data'!$A$2:$A$201,MATCH(ROW()-4,'Raw Data'!$L$2:$L$201,0)),"")</f>
        <v>P091</v>
      </c>
      <c r="C55" s="15" t="str">
        <f>IFERROR(INDEX('Raw Data'!$B$2:$B$201,MATCH(ROW()-4,'Raw Data'!$L$2:$L$201,0)),"")</f>
        <v>Priya Chatterjee</v>
      </c>
      <c r="D55" s="18" t="str">
        <f>IFERROR(INDEX('Raw Data'!$D$2:$D$201,MATCH(ROW()-4,'Raw Data'!$L$2:$L$201,0)),"")</f>
        <v>Data Analytics Basics</v>
      </c>
      <c r="E55" s="18" t="str">
        <f>IFERROR(INDEX('Raw Data'!$E$2:$E$201,MATCH(ROW()-4,'Raw Data'!$L$2:$L$201,0)),"")</f>
        <v>D</v>
      </c>
      <c r="F55" s="18" t="str">
        <f>IFERROR(INDEX('Raw Data'!$C$2:$C$201,MATCH(ROW()-4,'Raw Data'!$L$2:$L$201,0)),"")</f>
        <v>Registered</v>
      </c>
      <c r="G55" s="18" t="str">
        <f>IFERROR(INDEX('Raw Data'!$K$2:$K$201,MATCH(ROW()-4,'Raw Data'!$L$2:$L$201,0)),"")</f>
        <v>Send completion certificate</v>
      </c>
      <c r="H55" s="18" t="str">
        <f t="shared" si="5"/>
        <v>Medium</v>
      </c>
      <c r="I55" s="18" t="str">
        <f t="shared" si="6"/>
        <v>Learning Ops</v>
      </c>
      <c r="J55" s="19">
        <f>IFERROR(INDEX('Raw Data'!$G$2:$G$201,MATCH(ROW()-4,'Raw Data'!$L$2:$L$201,0))+7,"")</f>
        <v>46174</v>
      </c>
      <c r="K55" s="18" t="str">
        <f t="shared" si="7"/>
        <v>Open</v>
      </c>
    </row>
    <row r="56" spans="1:11" x14ac:dyDescent="0.3">
      <c r="A56" s="18" t="str">
        <f t="shared" si="4"/>
        <v>ACT-052</v>
      </c>
      <c r="B56" s="18" t="str">
        <f>IFERROR(INDEX('Raw Data'!$A$2:$A$201,MATCH(ROW()-4,'Raw Data'!$L$2:$L$201,0)),"")</f>
        <v>P093</v>
      </c>
      <c r="C56" s="15" t="str">
        <f>IFERROR(INDEX('Raw Data'!$B$2:$B$201,MATCH(ROW()-4,'Raw Data'!$L$2:$L$201,0)),"")</f>
        <v>Divya Rao</v>
      </c>
      <c r="D56" s="18" t="str">
        <f>IFERROR(INDEX('Raw Data'!$D$2:$D$201,MATCH(ROW()-4,'Raw Data'!$L$2:$L$201,0)),"")</f>
        <v>Leadership Essentials</v>
      </c>
      <c r="E56" s="18" t="str">
        <f>IFERROR(INDEX('Raw Data'!$E$2:$E$201,MATCH(ROW()-4,'Raw Data'!$L$2:$L$201,0)),"")</f>
        <v>A</v>
      </c>
      <c r="F56" s="18" t="str">
        <f>IFERROR(INDEX('Raw Data'!$C$2:$C$201,MATCH(ROW()-4,'Raw Data'!$L$2:$L$201,0)),"")</f>
        <v>Registered</v>
      </c>
      <c r="G56" s="18" t="str">
        <f>IFERROR(INDEX('Raw Data'!$K$2:$K$201,MATCH(ROW()-4,'Raw Data'!$L$2:$L$201,0)),"")</f>
        <v>Follow up on absence</v>
      </c>
      <c r="H56" s="18" t="str">
        <f t="shared" si="5"/>
        <v>High</v>
      </c>
      <c r="I56" s="18" t="str">
        <f t="shared" si="6"/>
        <v>Learning Ops</v>
      </c>
      <c r="J56" s="19">
        <f>IFERROR(INDEX('Raw Data'!$G$2:$G$201,MATCH(ROW()-4,'Raw Data'!$L$2:$L$201,0))+7,"")</f>
        <v>46213</v>
      </c>
      <c r="K56" s="18" t="str">
        <f t="shared" si="7"/>
        <v>Open</v>
      </c>
    </row>
    <row r="57" spans="1:11" x14ac:dyDescent="0.3">
      <c r="A57" s="18" t="str">
        <f t="shared" si="4"/>
        <v>ACT-053</v>
      </c>
      <c r="B57" s="18" t="str">
        <f>IFERROR(INDEX('Raw Data'!$A$2:$A$201,MATCH(ROW()-4,'Raw Data'!$L$2:$L$201,0)),"")</f>
        <v>P094</v>
      </c>
      <c r="C57" s="15" t="str">
        <f>IFERROR(INDEX('Raw Data'!$B$2:$B$201,MATCH(ROW()-4,'Raw Data'!$L$2:$L$201,0)),"")</f>
        <v>Sanjay Kumar</v>
      </c>
      <c r="D57" s="18" t="str">
        <f>IFERROR(INDEX('Raw Data'!$D$2:$D$201,MATCH(ROW()-4,'Raw Data'!$L$2:$L$201,0)),"")</f>
        <v>Leadership Essentials</v>
      </c>
      <c r="E57" s="18" t="str">
        <f>IFERROR(INDEX('Raw Data'!$E$2:$E$201,MATCH(ROW()-4,'Raw Data'!$L$2:$L$201,0)),"")</f>
        <v>C</v>
      </c>
      <c r="F57" s="18" t="str">
        <f>IFERROR(INDEX('Raw Data'!$C$2:$C$201,MATCH(ROW()-4,'Raw Data'!$L$2:$L$201,0)),"")</f>
        <v>Registered</v>
      </c>
      <c r="G57" s="18" t="str">
        <f>IFERROR(INDEX('Raw Data'!$K$2:$K$201,MATCH(ROW()-4,'Raw Data'!$L$2:$L$201,0)),"")</f>
        <v>Collect interim feedback</v>
      </c>
      <c r="H57" s="18" t="str">
        <f t="shared" si="5"/>
        <v>Medium</v>
      </c>
      <c r="I57" s="18" t="str">
        <f t="shared" si="6"/>
        <v>Learning Ops</v>
      </c>
      <c r="J57" s="19">
        <f>IFERROR(INDEX('Raw Data'!$G$2:$G$201,MATCH(ROW()-4,'Raw Data'!$L$2:$L$201,0))+7,"")</f>
        <v>46219</v>
      </c>
      <c r="K57" s="18" t="str">
        <f t="shared" si="7"/>
        <v>Open</v>
      </c>
    </row>
    <row r="58" spans="1:11" x14ac:dyDescent="0.3">
      <c r="A58" s="18" t="str">
        <f t="shared" si="4"/>
        <v>ACT-054</v>
      </c>
      <c r="B58" s="18" t="str">
        <f>IFERROR(INDEX('Raw Data'!$A$2:$A$201,MATCH(ROW()-4,'Raw Data'!$L$2:$L$201,0)),"")</f>
        <v>P095</v>
      </c>
      <c r="C58" s="15" t="str">
        <f>IFERROR(INDEX('Raw Data'!$B$2:$B$201,MATCH(ROW()-4,'Raw Data'!$L$2:$L$201,0)),"")</f>
        <v>Ravi Kulkarni</v>
      </c>
      <c r="D58" s="18" t="str">
        <f>IFERROR(INDEX('Raw Data'!$D$2:$D$201,MATCH(ROW()-4,'Raw Data'!$L$2:$L$201,0)),"")</f>
        <v>Project Management 101</v>
      </c>
      <c r="E58" s="18" t="str">
        <f>IFERROR(INDEX('Raw Data'!$E$2:$E$201,MATCH(ROW()-4,'Raw Data'!$L$2:$L$201,0)),"")</f>
        <v>D</v>
      </c>
      <c r="F58" s="18" t="str">
        <f>IFERROR(INDEX('Raw Data'!$C$2:$C$201,MATCH(ROW()-4,'Raw Data'!$L$2:$L$201,0)),"")</f>
        <v>Registered</v>
      </c>
      <c r="G58" s="18" t="str">
        <f>IFERROR(INDEX('Raw Data'!$K$2:$K$201,MATCH(ROW()-4,'Raw Data'!$L$2:$L$201,0)),"")</f>
        <v>Follow up on absence</v>
      </c>
      <c r="H58" s="18" t="str">
        <f t="shared" si="5"/>
        <v>High</v>
      </c>
      <c r="I58" s="18" t="str">
        <f t="shared" si="6"/>
        <v>Learning Ops</v>
      </c>
      <c r="J58" s="19">
        <f>IFERROR(INDEX('Raw Data'!$G$2:$G$201,MATCH(ROW()-4,'Raw Data'!$L$2:$L$201,0))+7,"")</f>
        <v>46198</v>
      </c>
      <c r="K58" s="18" t="str">
        <f t="shared" si="7"/>
        <v>Open</v>
      </c>
    </row>
    <row r="59" spans="1:11" x14ac:dyDescent="0.3">
      <c r="A59" s="18" t="str">
        <f t="shared" si="4"/>
        <v>ACT-055</v>
      </c>
      <c r="B59" s="18" t="str">
        <f>IFERROR(INDEX('Raw Data'!$A$2:$A$201,MATCH(ROW()-4,'Raw Data'!$L$2:$L$201,0)),"")</f>
        <v>P099</v>
      </c>
      <c r="C59" s="15" t="str">
        <f>IFERROR(INDEX('Raw Data'!$B$2:$B$201,MATCH(ROW()-4,'Raw Data'!$L$2:$L$201,0)),"")</f>
        <v>Diya Malhotra</v>
      </c>
      <c r="D59" s="18" t="str">
        <f>IFERROR(INDEX('Raw Data'!$D$2:$D$201,MATCH(ROW()-4,'Raw Data'!$L$2:$L$201,0)),"")</f>
        <v>Data Analytics Basics</v>
      </c>
      <c r="E59" s="18" t="str">
        <f>IFERROR(INDEX('Raw Data'!$E$2:$E$201,MATCH(ROW()-4,'Raw Data'!$L$2:$L$201,0)),"")</f>
        <v>D</v>
      </c>
      <c r="F59" s="18" t="str">
        <f>IFERROR(INDEX('Raw Data'!$C$2:$C$201,MATCH(ROW()-4,'Raw Data'!$L$2:$L$201,0)),"")</f>
        <v>Registered</v>
      </c>
      <c r="G59" s="18" t="str">
        <f>IFERROR(INDEX('Raw Data'!$K$2:$K$201,MATCH(ROW()-4,'Raw Data'!$L$2:$L$201,0)),"")</f>
        <v>Collect interim feedback</v>
      </c>
      <c r="H59" s="18" t="str">
        <f t="shared" si="5"/>
        <v>Medium</v>
      </c>
      <c r="I59" s="18" t="str">
        <f t="shared" si="6"/>
        <v>Learning Ops</v>
      </c>
      <c r="J59" s="19">
        <f>IFERROR(INDEX('Raw Data'!$G$2:$G$201,MATCH(ROW()-4,'Raw Data'!$L$2:$L$201,0))+7,"")</f>
        <v>46174</v>
      </c>
      <c r="K59" s="18" t="str">
        <f t="shared" si="7"/>
        <v>Open</v>
      </c>
    </row>
    <row r="60" spans="1:11" x14ac:dyDescent="0.3">
      <c r="A60" s="18" t="str">
        <f t="shared" si="4"/>
        <v>ACT-056</v>
      </c>
      <c r="B60" s="18" t="str">
        <f>IFERROR(INDEX('Raw Data'!$A$2:$A$201,MATCH(ROW()-4,'Raw Data'!$L$2:$L$201,0)),"")</f>
        <v>P101</v>
      </c>
      <c r="C60" s="15" t="str">
        <f>IFERROR(INDEX('Raw Data'!$B$2:$B$201,MATCH(ROW()-4,'Raw Data'!$L$2:$L$201,0)),"")</f>
        <v>Meera Kulkarni</v>
      </c>
      <c r="D60" s="18" t="str">
        <f>IFERROR(INDEX('Raw Data'!$D$2:$D$201,MATCH(ROW()-4,'Raw Data'!$L$2:$L$201,0)),"")</f>
        <v>Excel Fundamentals</v>
      </c>
      <c r="E60" s="18" t="str">
        <f>IFERROR(INDEX('Raw Data'!$E$2:$E$201,MATCH(ROW()-4,'Raw Data'!$L$2:$L$201,0)),"")</f>
        <v>B</v>
      </c>
      <c r="F60" s="18" t="str">
        <f>IFERROR(INDEX('Raw Data'!$C$2:$C$201,MATCH(ROW()-4,'Raw Data'!$L$2:$L$201,0)),"")</f>
        <v>Waitlisted</v>
      </c>
      <c r="G60" s="18" t="str">
        <f>IFERROR(INDEX('Raw Data'!$K$2:$K$201,MATCH(ROW()-4,'Raw Data'!$L$2:$L$201,0)),"")</f>
        <v>Resolve waitlist</v>
      </c>
      <c r="H60" s="18" t="str">
        <f t="shared" si="5"/>
        <v>High</v>
      </c>
      <c r="I60" s="18" t="str">
        <f t="shared" si="6"/>
        <v>Program Coordinator</v>
      </c>
      <c r="J60" s="19">
        <f>IFERROR(INDEX('Raw Data'!$G$2:$G$201,MATCH(ROW()-4,'Raw Data'!$L$2:$L$201,0))+7,"")</f>
        <v>46156</v>
      </c>
      <c r="K60" s="18" t="str">
        <f t="shared" si="7"/>
        <v>Open</v>
      </c>
    </row>
    <row r="61" spans="1:11" x14ac:dyDescent="0.3">
      <c r="A61" s="18" t="str">
        <f t="shared" si="4"/>
        <v>ACT-057</v>
      </c>
      <c r="B61" s="18" t="str">
        <f>IFERROR(INDEX('Raw Data'!$A$2:$A$201,MATCH(ROW()-4,'Raw Data'!$L$2:$L$201,0)),"")</f>
        <v>P104</v>
      </c>
      <c r="C61" s="15" t="str">
        <f>IFERROR(INDEX('Raw Data'!$B$2:$B$201,MATCH(ROW()-4,'Raw Data'!$L$2:$L$201,0)),"")</f>
        <v>Nisha Patel</v>
      </c>
      <c r="D61" s="18" t="str">
        <f>IFERROR(INDEX('Raw Data'!$D$2:$D$201,MATCH(ROW()-4,'Raw Data'!$L$2:$L$201,0)),"")</f>
        <v>SQL for Beginners</v>
      </c>
      <c r="E61" s="18" t="str">
        <f>IFERROR(INDEX('Raw Data'!$E$2:$E$201,MATCH(ROW()-4,'Raw Data'!$L$2:$L$201,0)),"")</f>
        <v>B</v>
      </c>
      <c r="F61" s="18" t="str">
        <f>IFERROR(INDEX('Raw Data'!$C$2:$C$201,MATCH(ROW()-4,'Raw Data'!$L$2:$L$201,0)),"")</f>
        <v>Waitlisted</v>
      </c>
      <c r="G61" s="18" t="str">
        <f>IFERROR(INDEX('Raw Data'!$K$2:$K$201,MATCH(ROW()-4,'Raw Data'!$L$2:$L$201,0)),"")</f>
        <v>Resolve waitlist</v>
      </c>
      <c r="H61" s="18" t="str">
        <f t="shared" si="5"/>
        <v>High</v>
      </c>
      <c r="I61" s="18" t="str">
        <f t="shared" si="6"/>
        <v>Program Coordinator</v>
      </c>
      <c r="J61" s="19">
        <f>IFERROR(INDEX('Raw Data'!$G$2:$G$201,MATCH(ROW()-4,'Raw Data'!$L$2:$L$201,0))+7,"")</f>
        <v>46204</v>
      </c>
      <c r="K61" s="18" t="str">
        <f t="shared" si="7"/>
        <v>Open</v>
      </c>
    </row>
    <row r="62" spans="1:11" x14ac:dyDescent="0.3">
      <c r="A62" s="18" t="str">
        <f t="shared" si="4"/>
        <v>ACT-058</v>
      </c>
      <c r="B62" s="18" t="str">
        <f>IFERROR(INDEX('Raw Data'!$A$2:$A$201,MATCH(ROW()-4,'Raw Data'!$L$2:$L$201,0)),"")</f>
        <v>P105</v>
      </c>
      <c r="C62" s="15" t="str">
        <f>IFERROR(INDEX('Raw Data'!$B$2:$B$201,MATCH(ROW()-4,'Raw Data'!$L$2:$L$201,0)),"")</f>
        <v>Swati Chawla</v>
      </c>
      <c r="D62" s="18" t="str">
        <f>IFERROR(INDEX('Raw Data'!$D$2:$D$201,MATCH(ROW()-4,'Raw Data'!$L$2:$L$201,0)),"")</f>
        <v>Project Management 101</v>
      </c>
      <c r="E62" s="18" t="str">
        <f>IFERROR(INDEX('Raw Data'!$E$2:$E$201,MATCH(ROW()-4,'Raw Data'!$L$2:$L$201,0)),"")</f>
        <v>C</v>
      </c>
      <c r="F62" s="18" t="str">
        <f>IFERROR(INDEX('Raw Data'!$C$2:$C$201,MATCH(ROW()-4,'Raw Data'!$L$2:$L$201,0)),"")</f>
        <v>Registered</v>
      </c>
      <c r="G62" s="18" t="str">
        <f>IFERROR(INDEX('Raw Data'!$K$2:$K$201,MATCH(ROW()-4,'Raw Data'!$L$2:$L$201,0)),"")</f>
        <v>Collect interim feedback</v>
      </c>
      <c r="H62" s="18" t="str">
        <f t="shared" si="5"/>
        <v>Medium</v>
      </c>
      <c r="I62" s="18" t="str">
        <f t="shared" si="6"/>
        <v>Learning Ops</v>
      </c>
      <c r="J62" s="19">
        <f>IFERROR(INDEX('Raw Data'!$G$2:$G$201,MATCH(ROW()-4,'Raw Data'!$L$2:$L$201,0))+7,"")</f>
        <v>46195</v>
      </c>
      <c r="K62" s="18" t="str">
        <f t="shared" si="7"/>
        <v>Open</v>
      </c>
    </row>
    <row r="63" spans="1:11" x14ac:dyDescent="0.3">
      <c r="A63" s="18" t="str">
        <f t="shared" si="4"/>
        <v>ACT-059</v>
      </c>
      <c r="B63" s="18" t="str">
        <f>IFERROR(INDEX('Raw Data'!$A$2:$A$201,MATCH(ROW()-4,'Raw Data'!$L$2:$L$201,0)),"")</f>
        <v>P106</v>
      </c>
      <c r="C63" s="15" t="str">
        <f>IFERROR(INDEX('Raw Data'!$B$2:$B$201,MATCH(ROW()-4,'Raw Data'!$L$2:$L$201,0)),"")</f>
        <v>Usha Shetty</v>
      </c>
      <c r="D63" s="18" t="str">
        <f>IFERROR(INDEX('Raw Data'!$D$2:$D$201,MATCH(ROW()-4,'Raw Data'!$L$2:$L$201,0)),"")</f>
        <v>Leadership Essentials</v>
      </c>
      <c r="E63" s="18" t="str">
        <f>IFERROR(INDEX('Raw Data'!$E$2:$E$201,MATCH(ROW()-4,'Raw Data'!$L$2:$L$201,0)),"")</f>
        <v>D</v>
      </c>
      <c r="F63" s="18" t="str">
        <f>IFERROR(INDEX('Raw Data'!$C$2:$C$201,MATCH(ROW()-4,'Raw Data'!$L$2:$L$201,0)),"")</f>
        <v>Registered</v>
      </c>
      <c r="G63" s="18" t="str">
        <f>IFERROR(INDEX('Raw Data'!$K$2:$K$201,MATCH(ROW()-4,'Raw Data'!$L$2:$L$201,0)),"")</f>
        <v>Collect interim feedback</v>
      </c>
      <c r="H63" s="18" t="str">
        <f t="shared" si="5"/>
        <v>Medium</v>
      </c>
      <c r="I63" s="18" t="str">
        <f t="shared" si="6"/>
        <v>Learning Ops</v>
      </c>
      <c r="J63" s="19">
        <f>IFERROR(INDEX('Raw Data'!$G$2:$G$201,MATCH(ROW()-4,'Raw Data'!$L$2:$L$201,0))+7,"")</f>
        <v>46222</v>
      </c>
      <c r="K63" s="18" t="str">
        <f t="shared" si="7"/>
        <v>Open</v>
      </c>
    </row>
    <row r="64" spans="1:11" x14ac:dyDescent="0.3">
      <c r="A64" s="18" t="str">
        <f t="shared" si="4"/>
        <v>ACT-060</v>
      </c>
      <c r="B64" s="18" t="str">
        <f>IFERROR(INDEX('Raw Data'!$A$2:$A$201,MATCH(ROW()-4,'Raw Data'!$L$2:$L$201,0)),"")</f>
        <v>P107</v>
      </c>
      <c r="C64" s="15" t="str">
        <f>IFERROR(INDEX('Raw Data'!$B$2:$B$201,MATCH(ROW()-4,'Raw Data'!$L$2:$L$201,0)),"")</f>
        <v>Geeta Rana</v>
      </c>
      <c r="D64" s="18" t="str">
        <f>IFERROR(INDEX('Raw Data'!$D$2:$D$201,MATCH(ROW()-4,'Raw Data'!$L$2:$L$201,0)),"")</f>
        <v>Project Management 101</v>
      </c>
      <c r="E64" s="18" t="str">
        <f>IFERROR(INDEX('Raw Data'!$E$2:$E$201,MATCH(ROW()-4,'Raw Data'!$L$2:$L$201,0)),"")</f>
        <v>B</v>
      </c>
      <c r="F64" s="18" t="str">
        <f>IFERROR(INDEX('Raw Data'!$C$2:$C$201,MATCH(ROW()-4,'Raw Data'!$L$2:$L$201,0)),"")</f>
        <v>Registered</v>
      </c>
      <c r="G64" s="18" t="str">
        <f>IFERROR(INDEX('Raw Data'!$K$2:$K$201,MATCH(ROW()-4,'Raw Data'!$L$2:$L$201,0)),"")</f>
        <v>Follow up - dropped participant</v>
      </c>
      <c r="H64" s="18" t="str">
        <f t="shared" si="5"/>
        <v>High</v>
      </c>
      <c r="I64" s="18" t="str">
        <f t="shared" si="6"/>
        <v>Learning Ops</v>
      </c>
      <c r="J64" s="19">
        <f>IFERROR(INDEX('Raw Data'!$G$2:$G$201,MATCH(ROW()-4,'Raw Data'!$L$2:$L$201,0))+7,"")</f>
        <v>46192</v>
      </c>
      <c r="K64" s="18" t="str">
        <f t="shared" si="7"/>
        <v>Open</v>
      </c>
    </row>
    <row r="65" spans="1:11" x14ac:dyDescent="0.3">
      <c r="A65" s="18" t="str">
        <f t="shared" si="4"/>
        <v>ACT-061</v>
      </c>
      <c r="B65" s="18" t="str">
        <f>IFERROR(INDEX('Raw Data'!$A$2:$A$201,MATCH(ROW()-4,'Raw Data'!$L$2:$L$201,0)),"")</f>
        <v>P108</v>
      </c>
      <c r="C65" s="15" t="str">
        <f>IFERROR(INDEX('Raw Data'!$B$2:$B$201,MATCH(ROW()-4,'Raw Data'!$L$2:$L$201,0)),"")</f>
        <v>Sandeep Nayar</v>
      </c>
      <c r="D65" s="18" t="str">
        <f>IFERROR(INDEX('Raw Data'!$D$2:$D$201,MATCH(ROW()-4,'Raw Data'!$L$2:$L$201,0)),"")</f>
        <v>SQL for Beginners</v>
      </c>
      <c r="E65" s="18" t="str">
        <f>IFERROR(INDEX('Raw Data'!$E$2:$E$201,MATCH(ROW()-4,'Raw Data'!$L$2:$L$201,0)),"")</f>
        <v>B</v>
      </c>
      <c r="F65" s="18" t="str">
        <f>IFERROR(INDEX('Raw Data'!$C$2:$C$201,MATCH(ROW()-4,'Raw Data'!$L$2:$L$201,0)),"")</f>
        <v>Registered</v>
      </c>
      <c r="G65" s="18" t="str">
        <f>IFERROR(INDEX('Raw Data'!$K$2:$K$201,MATCH(ROW()-4,'Raw Data'!$L$2:$L$201,0)),"")</f>
        <v>Follow up - dropped participant</v>
      </c>
      <c r="H65" s="18" t="str">
        <f t="shared" si="5"/>
        <v>High</v>
      </c>
      <c r="I65" s="18" t="str">
        <f t="shared" si="6"/>
        <v>Learning Ops</v>
      </c>
      <c r="J65" s="19">
        <f>IFERROR(INDEX('Raw Data'!$G$2:$G$201,MATCH(ROW()-4,'Raw Data'!$L$2:$L$201,0))+7,"")</f>
        <v>46204</v>
      </c>
      <c r="K65" s="18" t="str">
        <f t="shared" si="7"/>
        <v>Open</v>
      </c>
    </row>
    <row r="66" spans="1:11" x14ac:dyDescent="0.3">
      <c r="A66" s="18" t="str">
        <f t="shared" si="4"/>
        <v>ACT-062</v>
      </c>
      <c r="B66" s="18" t="str">
        <f>IFERROR(INDEX('Raw Data'!$A$2:$A$201,MATCH(ROW()-4,'Raw Data'!$L$2:$L$201,0)),"")</f>
        <v>P110</v>
      </c>
      <c r="C66" s="15" t="str">
        <f>IFERROR(INDEX('Raw Data'!$B$2:$B$201,MATCH(ROW()-4,'Raw Data'!$L$2:$L$201,0)),"")</f>
        <v>Sandeep Mehta</v>
      </c>
      <c r="D66" s="18" t="str">
        <f>IFERROR(INDEX('Raw Data'!$D$2:$D$201,MATCH(ROW()-4,'Raw Data'!$L$2:$L$201,0)),"")</f>
        <v>Project Management 101</v>
      </c>
      <c r="E66" s="18" t="str">
        <f>IFERROR(INDEX('Raw Data'!$E$2:$E$201,MATCH(ROW()-4,'Raw Data'!$L$2:$L$201,0)),"")</f>
        <v>D</v>
      </c>
      <c r="F66" s="18" t="str">
        <f>IFERROR(INDEX('Raw Data'!$C$2:$C$201,MATCH(ROW()-4,'Raw Data'!$L$2:$L$201,0)),"")</f>
        <v>Registered</v>
      </c>
      <c r="G66" s="18" t="str">
        <f>IFERROR(INDEX('Raw Data'!$K$2:$K$201,MATCH(ROW()-4,'Raw Data'!$L$2:$L$201,0)),"")</f>
        <v>Follow up on absence</v>
      </c>
      <c r="H66" s="18" t="str">
        <f t="shared" si="5"/>
        <v>High</v>
      </c>
      <c r="I66" s="18" t="str">
        <f t="shared" si="6"/>
        <v>Learning Ops</v>
      </c>
      <c r="J66" s="19">
        <f>IFERROR(INDEX('Raw Data'!$G$2:$G$201,MATCH(ROW()-4,'Raw Data'!$L$2:$L$201,0))+7,"")</f>
        <v>46198</v>
      </c>
      <c r="K66" s="18" t="str">
        <f t="shared" si="7"/>
        <v>Open</v>
      </c>
    </row>
    <row r="67" spans="1:11" x14ac:dyDescent="0.3">
      <c r="A67" s="18" t="str">
        <f t="shared" si="4"/>
        <v>ACT-063</v>
      </c>
      <c r="B67" s="18" t="str">
        <f>IFERROR(INDEX('Raw Data'!$A$2:$A$201,MATCH(ROW()-4,'Raw Data'!$L$2:$L$201,0)),"")</f>
        <v>P111</v>
      </c>
      <c r="C67" s="15" t="str">
        <f>IFERROR(INDEX('Raw Data'!$B$2:$B$201,MATCH(ROW()-4,'Raw Data'!$L$2:$L$201,0)),"")</f>
        <v>Geeta Banerjee</v>
      </c>
      <c r="D67" s="18" t="str">
        <f>IFERROR(INDEX('Raw Data'!$D$2:$D$201,MATCH(ROW()-4,'Raw Data'!$L$2:$L$201,0)),"")</f>
        <v>Data Analytics Basics</v>
      </c>
      <c r="E67" s="18" t="str">
        <f>IFERROR(INDEX('Raw Data'!$E$2:$E$201,MATCH(ROW()-4,'Raw Data'!$L$2:$L$201,0)),"")</f>
        <v>D</v>
      </c>
      <c r="F67" s="18" t="str">
        <f>IFERROR(INDEX('Raw Data'!$C$2:$C$201,MATCH(ROW()-4,'Raw Data'!$L$2:$L$201,0)),"")</f>
        <v>Waitlisted</v>
      </c>
      <c r="G67" s="18" t="str">
        <f>IFERROR(INDEX('Raw Data'!$K$2:$K$201,MATCH(ROW()-4,'Raw Data'!$L$2:$L$201,0)),"")</f>
        <v>Resolve waitlist</v>
      </c>
      <c r="H67" s="18" t="str">
        <f t="shared" si="5"/>
        <v>High</v>
      </c>
      <c r="I67" s="18" t="str">
        <f t="shared" si="6"/>
        <v>Program Coordinator</v>
      </c>
      <c r="J67" s="19">
        <f>IFERROR(INDEX('Raw Data'!$G$2:$G$201,MATCH(ROW()-4,'Raw Data'!$L$2:$L$201,0))+7,"")</f>
        <v>46174</v>
      </c>
      <c r="K67" s="18" t="str">
        <f t="shared" si="7"/>
        <v>Open</v>
      </c>
    </row>
    <row r="68" spans="1:11" x14ac:dyDescent="0.3">
      <c r="A68" s="18" t="str">
        <f t="shared" si="4"/>
        <v>ACT-064</v>
      </c>
      <c r="B68" s="18" t="str">
        <f>IFERROR(INDEX('Raw Data'!$A$2:$A$201,MATCH(ROW()-4,'Raw Data'!$L$2:$L$201,0)),"")</f>
        <v>P112</v>
      </c>
      <c r="C68" s="15" t="str">
        <f>IFERROR(INDEX('Raw Data'!$B$2:$B$201,MATCH(ROW()-4,'Raw Data'!$L$2:$L$201,0)),"")</f>
        <v>Varun Kapoor</v>
      </c>
      <c r="D68" s="18" t="str">
        <f>IFERROR(INDEX('Raw Data'!$D$2:$D$201,MATCH(ROW()-4,'Raw Data'!$L$2:$L$201,0)),"")</f>
        <v>Communication Skills</v>
      </c>
      <c r="E68" s="18" t="str">
        <f>IFERROR(INDEX('Raw Data'!$E$2:$E$201,MATCH(ROW()-4,'Raw Data'!$L$2:$L$201,0)),"")</f>
        <v>A</v>
      </c>
      <c r="F68" s="18" t="str">
        <f>IFERROR(INDEX('Raw Data'!$C$2:$C$201,MATCH(ROW()-4,'Raw Data'!$L$2:$L$201,0)),"")</f>
        <v>Registered</v>
      </c>
      <c r="G68" s="18" t="str">
        <f>IFERROR(INDEX('Raw Data'!$K$2:$K$201,MATCH(ROW()-4,'Raw Data'!$L$2:$L$201,0)),"")</f>
        <v>Follow up - dropped participant</v>
      </c>
      <c r="H68" s="18" t="str">
        <f t="shared" si="5"/>
        <v>High</v>
      </c>
      <c r="I68" s="18" t="str">
        <f t="shared" si="6"/>
        <v>Learning Ops</v>
      </c>
      <c r="J68" s="19">
        <f>IFERROR(INDEX('Raw Data'!$G$2:$G$201,MATCH(ROW()-4,'Raw Data'!$L$2:$L$201,0))+7,"")</f>
        <v>46177</v>
      </c>
      <c r="K68" s="18" t="str">
        <f t="shared" si="7"/>
        <v>Open</v>
      </c>
    </row>
    <row r="69" spans="1:11" x14ac:dyDescent="0.3">
      <c r="A69" s="18" t="str">
        <f t="shared" ref="A69:A105" si="8">"ACT-"&amp;TEXT(ROW()-4,"000")</f>
        <v>ACT-065</v>
      </c>
      <c r="B69" s="18" t="str">
        <f>IFERROR(INDEX('Raw Data'!$A$2:$A$201,MATCH(ROW()-4,'Raw Data'!$L$2:$L$201,0)),"")</f>
        <v>P115</v>
      </c>
      <c r="C69" s="15" t="str">
        <f>IFERROR(INDEX('Raw Data'!$B$2:$B$201,MATCH(ROW()-4,'Raw Data'!$L$2:$L$201,0)),"")</f>
        <v>Pari Mehta</v>
      </c>
      <c r="D69" s="18" t="str">
        <f>IFERROR(INDEX('Raw Data'!$D$2:$D$201,MATCH(ROW()-4,'Raw Data'!$L$2:$L$201,0)),"")</f>
        <v>Excel Fundamentals</v>
      </c>
      <c r="E69" s="18" t="str">
        <f>IFERROR(INDEX('Raw Data'!$E$2:$E$201,MATCH(ROW()-4,'Raw Data'!$L$2:$L$201,0)),"")</f>
        <v>C</v>
      </c>
      <c r="F69" s="18" t="str">
        <f>IFERROR(INDEX('Raw Data'!$C$2:$C$201,MATCH(ROW()-4,'Raw Data'!$L$2:$L$201,0)),"")</f>
        <v>Waitlisted</v>
      </c>
      <c r="G69" s="18" t="str">
        <f>IFERROR(INDEX('Raw Data'!$K$2:$K$201,MATCH(ROW()-4,'Raw Data'!$L$2:$L$201,0)),"")</f>
        <v>Resolve waitlist</v>
      </c>
      <c r="H69" s="18" t="str">
        <f t="shared" ref="H69:H105" si="9">IF($G69="","",IF(OR($G69="Follow up on absence",$G69="Resolve waitlist",$G69="Follow up - dropped participant"),"High","Medium"))</f>
        <v>High</v>
      </c>
      <c r="I69" s="18" t="str">
        <f t="shared" ref="I69:I105" si="10">IF($G69="","",IF($G69="Resolve waitlist","Program Coordinator","Learning Ops"))</f>
        <v>Program Coordinator</v>
      </c>
      <c r="J69" s="19">
        <f>IFERROR(INDEX('Raw Data'!$G$2:$G$201,MATCH(ROW()-4,'Raw Data'!$L$2:$L$201,0))+7,"")</f>
        <v>46159</v>
      </c>
      <c r="K69" s="18" t="str">
        <f t="shared" ref="K69:K105" si="11">IF($G69="","","Open")</f>
        <v>Open</v>
      </c>
    </row>
    <row r="70" spans="1:11" x14ac:dyDescent="0.3">
      <c r="A70" s="18" t="str">
        <f t="shared" si="8"/>
        <v>ACT-066</v>
      </c>
      <c r="B70" s="18" t="str">
        <f>IFERROR(INDEX('Raw Data'!$A$2:$A$201,MATCH(ROW()-4,'Raw Data'!$L$2:$L$201,0)),"")</f>
        <v>P116</v>
      </c>
      <c r="C70" s="15" t="str">
        <f>IFERROR(INDEX('Raw Data'!$B$2:$B$201,MATCH(ROW()-4,'Raw Data'!$L$2:$L$201,0)),"")</f>
        <v>Rahul Nayar</v>
      </c>
      <c r="D70" s="18" t="str">
        <f>IFERROR(INDEX('Raw Data'!$D$2:$D$201,MATCH(ROW()-4,'Raw Data'!$L$2:$L$201,0)),"")</f>
        <v>Communication Skills</v>
      </c>
      <c r="E70" s="18" t="str">
        <f>IFERROR(INDEX('Raw Data'!$E$2:$E$201,MATCH(ROW()-4,'Raw Data'!$L$2:$L$201,0)),"")</f>
        <v>C</v>
      </c>
      <c r="F70" s="18" t="str">
        <f>IFERROR(INDEX('Raw Data'!$C$2:$C$201,MATCH(ROW()-4,'Raw Data'!$L$2:$L$201,0)),"")</f>
        <v>Registered</v>
      </c>
      <c r="G70" s="18" t="str">
        <f>IFERROR(INDEX('Raw Data'!$K$2:$K$201,MATCH(ROW()-4,'Raw Data'!$L$2:$L$201,0)),"")</f>
        <v>Follow up on absence</v>
      </c>
      <c r="H70" s="18" t="str">
        <f t="shared" si="9"/>
        <v>High</v>
      </c>
      <c r="I70" s="18" t="str">
        <f t="shared" si="10"/>
        <v>Learning Ops</v>
      </c>
      <c r="J70" s="19">
        <f>IFERROR(INDEX('Raw Data'!$G$2:$G$201,MATCH(ROW()-4,'Raw Data'!$L$2:$L$201,0))+7,"")</f>
        <v>46183</v>
      </c>
      <c r="K70" s="18" t="str">
        <f t="shared" si="11"/>
        <v>Open</v>
      </c>
    </row>
    <row r="71" spans="1:11" x14ac:dyDescent="0.3">
      <c r="A71" s="18" t="str">
        <f t="shared" si="8"/>
        <v>ACT-067</v>
      </c>
      <c r="B71" s="18" t="str">
        <f>IFERROR(INDEX('Raw Data'!$A$2:$A$201,MATCH(ROW()-4,'Raw Data'!$L$2:$L$201,0)),"")</f>
        <v>P117</v>
      </c>
      <c r="C71" s="15" t="str">
        <f>IFERROR(INDEX('Raw Data'!$B$2:$B$201,MATCH(ROW()-4,'Raw Data'!$L$2:$L$201,0)),"")</f>
        <v>Sai Nair</v>
      </c>
      <c r="D71" s="18" t="str">
        <f>IFERROR(INDEX('Raw Data'!$D$2:$D$201,MATCH(ROW()-4,'Raw Data'!$L$2:$L$201,0)),"")</f>
        <v>SQL for Beginners</v>
      </c>
      <c r="E71" s="18" t="str">
        <f>IFERROR(INDEX('Raw Data'!$E$2:$E$201,MATCH(ROW()-4,'Raw Data'!$L$2:$L$201,0)),"")</f>
        <v>B</v>
      </c>
      <c r="F71" s="18" t="str">
        <f>IFERROR(INDEX('Raw Data'!$C$2:$C$201,MATCH(ROW()-4,'Raw Data'!$L$2:$L$201,0)),"")</f>
        <v>Registered</v>
      </c>
      <c r="G71" s="18" t="str">
        <f>IFERROR(INDEX('Raw Data'!$K$2:$K$201,MATCH(ROW()-4,'Raw Data'!$L$2:$L$201,0)),"")</f>
        <v>Follow up on absence</v>
      </c>
      <c r="H71" s="18" t="str">
        <f t="shared" si="9"/>
        <v>High</v>
      </c>
      <c r="I71" s="18" t="str">
        <f t="shared" si="10"/>
        <v>Learning Ops</v>
      </c>
      <c r="J71" s="19">
        <f>IFERROR(INDEX('Raw Data'!$G$2:$G$201,MATCH(ROW()-4,'Raw Data'!$L$2:$L$201,0))+7,"")</f>
        <v>46204</v>
      </c>
      <c r="K71" s="18" t="str">
        <f t="shared" si="11"/>
        <v>Open</v>
      </c>
    </row>
    <row r="72" spans="1:11" x14ac:dyDescent="0.3">
      <c r="A72" s="18" t="str">
        <f t="shared" si="8"/>
        <v>ACT-068</v>
      </c>
      <c r="B72" s="18" t="str">
        <f>IFERROR(INDEX('Raw Data'!$A$2:$A$201,MATCH(ROW()-4,'Raw Data'!$L$2:$L$201,0)),"")</f>
        <v>P118</v>
      </c>
      <c r="C72" s="15" t="str">
        <f>IFERROR(INDEX('Raw Data'!$B$2:$B$201,MATCH(ROW()-4,'Raw Data'!$L$2:$L$201,0)),"")</f>
        <v>Myra Kumar</v>
      </c>
      <c r="D72" s="18" t="str">
        <f>IFERROR(INDEX('Raw Data'!$D$2:$D$201,MATCH(ROW()-4,'Raw Data'!$L$2:$L$201,0)),"")</f>
        <v>Data Analytics Basics</v>
      </c>
      <c r="E72" s="18" t="str">
        <f>IFERROR(INDEX('Raw Data'!$E$2:$E$201,MATCH(ROW()-4,'Raw Data'!$L$2:$L$201,0)),"")</f>
        <v>A</v>
      </c>
      <c r="F72" s="18" t="str">
        <f>IFERROR(INDEX('Raw Data'!$C$2:$C$201,MATCH(ROW()-4,'Raw Data'!$L$2:$L$201,0)),"")</f>
        <v>Registered</v>
      </c>
      <c r="G72" s="18" t="str">
        <f>IFERROR(INDEX('Raw Data'!$K$2:$K$201,MATCH(ROW()-4,'Raw Data'!$L$2:$L$201,0)),"")</f>
        <v>Follow up - dropped participant</v>
      </c>
      <c r="H72" s="18" t="str">
        <f t="shared" si="9"/>
        <v>High</v>
      </c>
      <c r="I72" s="18" t="str">
        <f t="shared" si="10"/>
        <v>Learning Ops</v>
      </c>
      <c r="J72" s="19">
        <f>IFERROR(INDEX('Raw Data'!$G$2:$G$201,MATCH(ROW()-4,'Raw Data'!$L$2:$L$201,0))+7,"")</f>
        <v>46165</v>
      </c>
      <c r="K72" s="18" t="str">
        <f t="shared" si="11"/>
        <v>Open</v>
      </c>
    </row>
    <row r="73" spans="1:11" x14ac:dyDescent="0.3">
      <c r="A73" s="18" t="str">
        <f t="shared" si="8"/>
        <v>ACT-069</v>
      </c>
      <c r="B73" s="18" t="str">
        <f>IFERROR(INDEX('Raw Data'!$A$2:$A$201,MATCH(ROW()-4,'Raw Data'!$L$2:$L$201,0)),"")</f>
        <v>P119</v>
      </c>
      <c r="C73" s="15" t="str">
        <f>IFERROR(INDEX('Raw Data'!$B$2:$B$201,MATCH(ROW()-4,'Raw Data'!$L$2:$L$201,0)),"")</f>
        <v>Rohan Das</v>
      </c>
      <c r="D73" s="18" t="str">
        <f>IFERROR(INDEX('Raw Data'!$D$2:$D$201,MATCH(ROW()-4,'Raw Data'!$L$2:$L$201,0)),"")</f>
        <v>Leadership Essentials</v>
      </c>
      <c r="E73" s="18" t="str">
        <f>IFERROR(INDEX('Raw Data'!$E$2:$E$201,MATCH(ROW()-4,'Raw Data'!$L$2:$L$201,0)),"")</f>
        <v>C</v>
      </c>
      <c r="F73" s="18" t="str">
        <f>IFERROR(INDEX('Raw Data'!$C$2:$C$201,MATCH(ROW()-4,'Raw Data'!$L$2:$L$201,0)),"")</f>
        <v>Registered</v>
      </c>
      <c r="G73" s="18" t="str">
        <f>IFERROR(INDEX('Raw Data'!$K$2:$K$201,MATCH(ROW()-4,'Raw Data'!$L$2:$L$201,0)),"")</f>
        <v>Follow up - dropped participant</v>
      </c>
      <c r="H73" s="18" t="str">
        <f t="shared" si="9"/>
        <v>High</v>
      </c>
      <c r="I73" s="18" t="str">
        <f t="shared" si="10"/>
        <v>Learning Ops</v>
      </c>
      <c r="J73" s="19">
        <f>IFERROR(INDEX('Raw Data'!$G$2:$G$201,MATCH(ROW()-4,'Raw Data'!$L$2:$L$201,0))+7,"")</f>
        <v>46219</v>
      </c>
      <c r="K73" s="18" t="str">
        <f t="shared" si="11"/>
        <v>Open</v>
      </c>
    </row>
    <row r="74" spans="1:11" x14ac:dyDescent="0.3">
      <c r="A74" s="18" t="str">
        <f t="shared" si="8"/>
        <v>ACT-070</v>
      </c>
      <c r="B74" s="18" t="str">
        <f>IFERROR(INDEX('Raw Data'!$A$2:$A$201,MATCH(ROW()-4,'Raw Data'!$L$2:$L$201,0)),"")</f>
        <v>P121</v>
      </c>
      <c r="C74" s="15" t="str">
        <f>IFERROR(INDEX('Raw Data'!$B$2:$B$201,MATCH(ROW()-4,'Raw Data'!$L$2:$L$201,0)),"")</f>
        <v>Karthik Bhat</v>
      </c>
      <c r="D74" s="18" t="str">
        <f>IFERROR(INDEX('Raw Data'!$D$2:$D$201,MATCH(ROW()-4,'Raw Data'!$L$2:$L$201,0)),"")</f>
        <v>Project Management 101</v>
      </c>
      <c r="E74" s="18" t="str">
        <f>IFERROR(INDEX('Raw Data'!$E$2:$E$201,MATCH(ROW()-4,'Raw Data'!$L$2:$L$201,0)),"")</f>
        <v>B</v>
      </c>
      <c r="F74" s="18" t="str">
        <f>IFERROR(INDEX('Raw Data'!$C$2:$C$201,MATCH(ROW()-4,'Raw Data'!$L$2:$L$201,0)),"")</f>
        <v>Registered</v>
      </c>
      <c r="G74" s="18" t="str">
        <f>IFERROR(INDEX('Raw Data'!$K$2:$K$201,MATCH(ROW()-4,'Raw Data'!$L$2:$L$201,0)),"")</f>
        <v>Send completion certificate</v>
      </c>
      <c r="H74" s="18" t="str">
        <f t="shared" si="9"/>
        <v>Medium</v>
      </c>
      <c r="I74" s="18" t="str">
        <f t="shared" si="10"/>
        <v>Learning Ops</v>
      </c>
      <c r="J74" s="19">
        <f>IFERROR(INDEX('Raw Data'!$G$2:$G$201,MATCH(ROW()-4,'Raw Data'!$L$2:$L$201,0))+7,"")</f>
        <v>46192</v>
      </c>
      <c r="K74" s="18" t="str">
        <f t="shared" si="11"/>
        <v>Open</v>
      </c>
    </row>
    <row r="75" spans="1:11" x14ac:dyDescent="0.3">
      <c r="A75" s="18" t="str">
        <f t="shared" si="8"/>
        <v>ACT-071</v>
      </c>
      <c r="B75" s="18" t="str">
        <f>IFERROR(INDEX('Raw Data'!$A$2:$A$201,MATCH(ROW()-4,'Raw Data'!$L$2:$L$201,0)),"")</f>
        <v>P125</v>
      </c>
      <c r="C75" s="15" t="str">
        <f>IFERROR(INDEX('Raw Data'!$B$2:$B$201,MATCH(ROW()-4,'Raw Data'!$L$2:$L$201,0)),"")</f>
        <v>Anita Nayar</v>
      </c>
      <c r="D75" s="18" t="str">
        <f>IFERROR(INDEX('Raw Data'!$D$2:$D$201,MATCH(ROW()-4,'Raw Data'!$L$2:$L$201,0)),"")</f>
        <v>Excel Fundamentals</v>
      </c>
      <c r="E75" s="18" t="str">
        <f>IFERROR(INDEX('Raw Data'!$E$2:$E$201,MATCH(ROW()-4,'Raw Data'!$L$2:$L$201,0)),"")</f>
        <v>A</v>
      </c>
      <c r="F75" s="18" t="str">
        <f>IFERROR(INDEX('Raw Data'!$C$2:$C$201,MATCH(ROW()-4,'Raw Data'!$L$2:$L$201,0)),"")</f>
        <v>Waitlisted</v>
      </c>
      <c r="G75" s="18" t="str">
        <f>IFERROR(INDEX('Raw Data'!$K$2:$K$201,MATCH(ROW()-4,'Raw Data'!$L$2:$L$201,0)),"")</f>
        <v>Resolve waitlist</v>
      </c>
      <c r="H75" s="18" t="str">
        <f t="shared" si="9"/>
        <v>High</v>
      </c>
      <c r="I75" s="18" t="str">
        <f t="shared" si="10"/>
        <v>Program Coordinator</v>
      </c>
      <c r="J75" s="19">
        <f>IFERROR(INDEX('Raw Data'!$G$2:$G$201,MATCH(ROW()-4,'Raw Data'!$L$2:$L$201,0))+7,"")</f>
        <v>46153</v>
      </c>
      <c r="K75" s="18" t="str">
        <f t="shared" si="11"/>
        <v>Open</v>
      </c>
    </row>
    <row r="76" spans="1:11" x14ac:dyDescent="0.3">
      <c r="A76" s="18" t="str">
        <f t="shared" si="8"/>
        <v>ACT-072</v>
      </c>
      <c r="B76" s="18" t="str">
        <f>IFERROR(INDEX('Raw Data'!$A$2:$A$201,MATCH(ROW()-4,'Raw Data'!$L$2:$L$201,0)),"")</f>
        <v>P126</v>
      </c>
      <c r="C76" s="15" t="str">
        <f>IFERROR(INDEX('Raw Data'!$B$2:$B$201,MATCH(ROW()-4,'Raw Data'!$L$2:$L$201,0)),"")</f>
        <v>Manoj Desai</v>
      </c>
      <c r="D76" s="18" t="str">
        <f>IFERROR(INDEX('Raw Data'!$D$2:$D$201,MATCH(ROW()-4,'Raw Data'!$L$2:$L$201,0)),"")</f>
        <v>SQL for Beginners</v>
      </c>
      <c r="E76" s="18" t="str">
        <f>IFERROR(INDEX('Raw Data'!$E$2:$E$201,MATCH(ROW()-4,'Raw Data'!$L$2:$L$201,0)),"")</f>
        <v>C</v>
      </c>
      <c r="F76" s="18" t="str">
        <f>IFERROR(INDEX('Raw Data'!$C$2:$C$201,MATCH(ROW()-4,'Raw Data'!$L$2:$L$201,0)),"")</f>
        <v>Registered</v>
      </c>
      <c r="G76" s="18" t="str">
        <f>IFERROR(INDEX('Raw Data'!$K$2:$K$201,MATCH(ROW()-4,'Raw Data'!$L$2:$L$201,0)),"")</f>
        <v>Follow up - dropped participant</v>
      </c>
      <c r="H76" s="18" t="str">
        <f t="shared" si="9"/>
        <v>High</v>
      </c>
      <c r="I76" s="18" t="str">
        <f t="shared" si="10"/>
        <v>Learning Ops</v>
      </c>
      <c r="J76" s="19">
        <f>IFERROR(INDEX('Raw Data'!$G$2:$G$201,MATCH(ROW()-4,'Raw Data'!$L$2:$L$201,0))+7,"")</f>
        <v>46207</v>
      </c>
      <c r="K76" s="18" t="str">
        <f t="shared" si="11"/>
        <v>Open</v>
      </c>
    </row>
    <row r="77" spans="1:11" x14ac:dyDescent="0.3">
      <c r="A77" s="18" t="str">
        <f t="shared" si="8"/>
        <v>ACT-073</v>
      </c>
      <c r="B77" s="18" t="str">
        <f>IFERROR(INDEX('Raw Data'!$A$2:$A$201,MATCH(ROW()-4,'Raw Data'!$L$2:$L$201,0)),"")</f>
        <v>P131</v>
      </c>
      <c r="C77" s="15" t="str">
        <f>IFERROR(INDEX('Raw Data'!$B$2:$B$201,MATCH(ROW()-4,'Raw Data'!$L$2:$L$201,0)),"")</f>
        <v>Myra Mehta</v>
      </c>
      <c r="D77" s="18" t="str">
        <f>IFERROR(INDEX('Raw Data'!$D$2:$D$201,MATCH(ROW()-4,'Raw Data'!$L$2:$L$201,0)),"")</f>
        <v>Project Management 101</v>
      </c>
      <c r="E77" s="18" t="str">
        <f>IFERROR(INDEX('Raw Data'!$E$2:$E$201,MATCH(ROW()-4,'Raw Data'!$L$2:$L$201,0)),"")</f>
        <v>D</v>
      </c>
      <c r="F77" s="18" t="str">
        <f>IFERROR(INDEX('Raw Data'!$C$2:$C$201,MATCH(ROW()-4,'Raw Data'!$L$2:$L$201,0)),"")</f>
        <v>Registered</v>
      </c>
      <c r="G77" s="18" t="str">
        <f>IFERROR(INDEX('Raw Data'!$K$2:$K$201,MATCH(ROW()-4,'Raw Data'!$L$2:$L$201,0)),"")</f>
        <v>Send completion certificate</v>
      </c>
      <c r="H77" s="18" t="str">
        <f t="shared" si="9"/>
        <v>Medium</v>
      </c>
      <c r="I77" s="18" t="str">
        <f t="shared" si="10"/>
        <v>Learning Ops</v>
      </c>
      <c r="J77" s="19">
        <f>IFERROR(INDEX('Raw Data'!$G$2:$G$201,MATCH(ROW()-4,'Raw Data'!$L$2:$L$201,0))+7,"")</f>
        <v>46198</v>
      </c>
      <c r="K77" s="18" t="str">
        <f t="shared" si="11"/>
        <v>Open</v>
      </c>
    </row>
    <row r="78" spans="1:11" x14ac:dyDescent="0.3">
      <c r="A78" s="18" t="str">
        <f t="shared" si="8"/>
        <v>ACT-074</v>
      </c>
      <c r="B78" s="18" t="str">
        <f>IFERROR(INDEX('Raw Data'!$A$2:$A$201,MATCH(ROW()-4,'Raw Data'!$L$2:$L$201,0)),"")</f>
        <v>P134</v>
      </c>
      <c r="C78" s="15" t="str">
        <f>IFERROR(INDEX('Raw Data'!$B$2:$B$201,MATCH(ROW()-4,'Raw Data'!$L$2:$L$201,0)),"")</f>
        <v>Radha Kumar</v>
      </c>
      <c r="D78" s="18" t="str">
        <f>IFERROR(INDEX('Raw Data'!$D$2:$D$201,MATCH(ROW()-4,'Raw Data'!$L$2:$L$201,0)),"")</f>
        <v>Leadership Essentials</v>
      </c>
      <c r="E78" s="18" t="str">
        <f>IFERROR(INDEX('Raw Data'!$E$2:$E$201,MATCH(ROW()-4,'Raw Data'!$L$2:$L$201,0)),"")</f>
        <v>B</v>
      </c>
      <c r="F78" s="18" t="str">
        <f>IFERROR(INDEX('Raw Data'!$C$2:$C$201,MATCH(ROW()-4,'Raw Data'!$L$2:$L$201,0)),"")</f>
        <v>Registered</v>
      </c>
      <c r="G78" s="18" t="str">
        <f>IFERROR(INDEX('Raw Data'!$K$2:$K$201,MATCH(ROW()-4,'Raw Data'!$L$2:$L$201,0)),"")</f>
        <v>Collect interim feedback</v>
      </c>
      <c r="H78" s="18" t="str">
        <f t="shared" si="9"/>
        <v>Medium</v>
      </c>
      <c r="I78" s="18" t="str">
        <f t="shared" si="10"/>
        <v>Learning Ops</v>
      </c>
      <c r="J78" s="19">
        <f>IFERROR(INDEX('Raw Data'!$G$2:$G$201,MATCH(ROW()-4,'Raw Data'!$L$2:$L$201,0))+7,"")</f>
        <v>46216</v>
      </c>
      <c r="K78" s="18" t="str">
        <f t="shared" si="11"/>
        <v>Open</v>
      </c>
    </row>
    <row r="79" spans="1:11" x14ac:dyDescent="0.3">
      <c r="A79" s="18" t="str">
        <f t="shared" si="8"/>
        <v>ACT-075</v>
      </c>
      <c r="B79" s="18" t="str">
        <f>IFERROR(INDEX('Raw Data'!$A$2:$A$201,MATCH(ROW()-4,'Raw Data'!$L$2:$L$201,0)),"")</f>
        <v>P136</v>
      </c>
      <c r="C79" s="15" t="str">
        <f>IFERROR(INDEX('Raw Data'!$B$2:$B$201,MATCH(ROW()-4,'Raw Data'!$L$2:$L$201,0)),"")</f>
        <v>Kavita Nair</v>
      </c>
      <c r="D79" s="18" t="str">
        <f>IFERROR(INDEX('Raw Data'!$D$2:$D$201,MATCH(ROW()-4,'Raw Data'!$L$2:$L$201,0)),"")</f>
        <v>Project Management 101</v>
      </c>
      <c r="E79" s="18" t="str">
        <f>IFERROR(INDEX('Raw Data'!$E$2:$E$201,MATCH(ROW()-4,'Raw Data'!$L$2:$L$201,0)),"")</f>
        <v>C</v>
      </c>
      <c r="F79" s="18" t="str">
        <f>IFERROR(INDEX('Raw Data'!$C$2:$C$201,MATCH(ROW()-4,'Raw Data'!$L$2:$L$201,0)),"")</f>
        <v>Registered</v>
      </c>
      <c r="G79" s="18" t="str">
        <f>IFERROR(INDEX('Raw Data'!$K$2:$K$201,MATCH(ROW()-4,'Raw Data'!$L$2:$L$201,0)),"")</f>
        <v>Follow up on absence</v>
      </c>
      <c r="H79" s="18" t="str">
        <f t="shared" si="9"/>
        <v>High</v>
      </c>
      <c r="I79" s="18" t="str">
        <f t="shared" si="10"/>
        <v>Learning Ops</v>
      </c>
      <c r="J79" s="19">
        <f>IFERROR(INDEX('Raw Data'!$G$2:$G$201,MATCH(ROW()-4,'Raw Data'!$L$2:$L$201,0))+7,"")</f>
        <v>46195</v>
      </c>
      <c r="K79" s="18" t="str">
        <f t="shared" si="11"/>
        <v>Open</v>
      </c>
    </row>
    <row r="80" spans="1:11" x14ac:dyDescent="0.3">
      <c r="A80" s="18" t="str">
        <f t="shared" si="8"/>
        <v>ACT-076</v>
      </c>
      <c r="B80" s="18" t="str">
        <f>IFERROR(INDEX('Raw Data'!$A$2:$A$201,MATCH(ROW()-4,'Raw Data'!$L$2:$L$201,0)),"")</f>
        <v>P138</v>
      </c>
      <c r="C80" s="15" t="str">
        <f>IFERROR(INDEX('Raw Data'!$B$2:$B$201,MATCH(ROW()-4,'Raw Data'!$L$2:$L$201,0)),"")</f>
        <v>Shreya Naidu</v>
      </c>
      <c r="D80" s="18" t="str">
        <f>IFERROR(INDEX('Raw Data'!$D$2:$D$201,MATCH(ROW()-4,'Raw Data'!$L$2:$L$201,0)),"")</f>
        <v>Project Management 101</v>
      </c>
      <c r="E80" s="18" t="str">
        <f>IFERROR(INDEX('Raw Data'!$E$2:$E$201,MATCH(ROW()-4,'Raw Data'!$L$2:$L$201,0)),"")</f>
        <v>A</v>
      </c>
      <c r="F80" s="18" t="str">
        <f>IFERROR(INDEX('Raw Data'!$C$2:$C$201,MATCH(ROW()-4,'Raw Data'!$L$2:$L$201,0)),"")</f>
        <v>Waitlisted</v>
      </c>
      <c r="G80" s="18" t="str">
        <f>IFERROR(INDEX('Raw Data'!$K$2:$K$201,MATCH(ROW()-4,'Raw Data'!$L$2:$L$201,0)),"")</f>
        <v>Resolve waitlist</v>
      </c>
      <c r="H80" s="18" t="str">
        <f t="shared" si="9"/>
        <v>High</v>
      </c>
      <c r="I80" s="18" t="str">
        <f t="shared" si="10"/>
        <v>Program Coordinator</v>
      </c>
      <c r="J80" s="19">
        <f>IFERROR(INDEX('Raw Data'!$G$2:$G$201,MATCH(ROW()-4,'Raw Data'!$L$2:$L$201,0))+7,"")</f>
        <v>46189</v>
      </c>
      <c r="K80" s="18" t="str">
        <f t="shared" si="11"/>
        <v>Open</v>
      </c>
    </row>
    <row r="81" spans="1:11" x14ac:dyDescent="0.3">
      <c r="A81" s="18" t="str">
        <f t="shared" si="8"/>
        <v>ACT-077</v>
      </c>
      <c r="B81" s="18" t="str">
        <f>IFERROR(INDEX('Raw Data'!$A$2:$A$201,MATCH(ROW()-4,'Raw Data'!$L$2:$L$201,0)),"")</f>
        <v>P139</v>
      </c>
      <c r="C81" s="15" t="str">
        <f>IFERROR(INDEX('Raw Data'!$B$2:$B$201,MATCH(ROW()-4,'Raw Data'!$L$2:$L$201,0)),"")</f>
        <v>Vivaan Gupta</v>
      </c>
      <c r="D81" s="18" t="str">
        <f>IFERROR(INDEX('Raw Data'!$D$2:$D$201,MATCH(ROW()-4,'Raw Data'!$L$2:$L$201,0)),"")</f>
        <v>Leadership Essentials</v>
      </c>
      <c r="E81" s="18" t="str">
        <f>IFERROR(INDEX('Raw Data'!$E$2:$E$201,MATCH(ROW()-4,'Raw Data'!$L$2:$L$201,0)),"")</f>
        <v>B</v>
      </c>
      <c r="F81" s="18" t="str">
        <f>IFERROR(INDEX('Raw Data'!$C$2:$C$201,MATCH(ROW()-4,'Raw Data'!$L$2:$L$201,0)),"")</f>
        <v>Registered</v>
      </c>
      <c r="G81" s="18" t="str">
        <f>IFERROR(INDEX('Raw Data'!$K$2:$K$201,MATCH(ROW()-4,'Raw Data'!$L$2:$L$201,0)),"")</f>
        <v>Follow up on absence</v>
      </c>
      <c r="H81" s="18" t="str">
        <f t="shared" si="9"/>
        <v>High</v>
      </c>
      <c r="I81" s="18" t="str">
        <f t="shared" si="10"/>
        <v>Learning Ops</v>
      </c>
      <c r="J81" s="19">
        <f>IFERROR(INDEX('Raw Data'!$G$2:$G$201,MATCH(ROW()-4,'Raw Data'!$L$2:$L$201,0))+7,"")</f>
        <v>46216</v>
      </c>
      <c r="K81" s="18" t="str">
        <f t="shared" si="11"/>
        <v>Open</v>
      </c>
    </row>
    <row r="82" spans="1:11" x14ac:dyDescent="0.3">
      <c r="A82" s="18" t="str">
        <f t="shared" si="8"/>
        <v>ACT-078</v>
      </c>
      <c r="B82" s="18" t="str">
        <f>IFERROR(INDEX('Raw Data'!$A$2:$A$201,MATCH(ROW()-4,'Raw Data'!$L$2:$L$201,0)),"")</f>
        <v>P142</v>
      </c>
      <c r="C82" s="15" t="str">
        <f>IFERROR(INDEX('Raw Data'!$B$2:$B$201,MATCH(ROW()-4,'Raw Data'!$L$2:$L$201,0)),"")</f>
        <v>Rahul Rao</v>
      </c>
      <c r="D82" s="18" t="str">
        <f>IFERROR(INDEX('Raw Data'!$D$2:$D$201,MATCH(ROW()-4,'Raw Data'!$L$2:$L$201,0)),"")</f>
        <v>Project Management 101</v>
      </c>
      <c r="E82" s="18" t="str">
        <f>IFERROR(INDEX('Raw Data'!$E$2:$E$201,MATCH(ROW()-4,'Raw Data'!$L$2:$L$201,0)),"")</f>
        <v>A</v>
      </c>
      <c r="F82" s="18" t="str">
        <f>IFERROR(INDEX('Raw Data'!$C$2:$C$201,MATCH(ROW()-4,'Raw Data'!$L$2:$L$201,0)),"")</f>
        <v>Registered</v>
      </c>
      <c r="G82" s="18" t="str">
        <f>IFERROR(INDEX('Raw Data'!$K$2:$K$201,MATCH(ROW()-4,'Raw Data'!$L$2:$L$201,0)),"")</f>
        <v>Follow up on absence</v>
      </c>
      <c r="H82" s="18" t="str">
        <f t="shared" si="9"/>
        <v>High</v>
      </c>
      <c r="I82" s="18" t="str">
        <f t="shared" si="10"/>
        <v>Learning Ops</v>
      </c>
      <c r="J82" s="19">
        <f>IFERROR(INDEX('Raw Data'!$G$2:$G$201,MATCH(ROW()-4,'Raw Data'!$L$2:$L$201,0))+7,"")</f>
        <v>46189</v>
      </c>
      <c r="K82" s="18" t="str">
        <f t="shared" si="11"/>
        <v>Open</v>
      </c>
    </row>
    <row r="83" spans="1:11" x14ac:dyDescent="0.3">
      <c r="A83" s="18" t="str">
        <f t="shared" si="8"/>
        <v>ACT-079</v>
      </c>
      <c r="B83" s="18" t="str">
        <f>IFERROR(INDEX('Raw Data'!$A$2:$A$201,MATCH(ROW()-4,'Raw Data'!$L$2:$L$201,0)),"")</f>
        <v>P147</v>
      </c>
      <c r="C83" s="15" t="str">
        <f>IFERROR(INDEX('Raw Data'!$B$2:$B$201,MATCH(ROW()-4,'Raw Data'!$L$2:$L$201,0)),"")</f>
        <v>Suresh Kulkarni</v>
      </c>
      <c r="D83" s="18" t="str">
        <f>IFERROR(INDEX('Raw Data'!$D$2:$D$201,MATCH(ROW()-4,'Raw Data'!$L$2:$L$201,0)),"")</f>
        <v>Leadership Essentials</v>
      </c>
      <c r="E83" s="18" t="str">
        <f>IFERROR(INDEX('Raw Data'!$E$2:$E$201,MATCH(ROW()-4,'Raw Data'!$L$2:$L$201,0)),"")</f>
        <v>D</v>
      </c>
      <c r="F83" s="18" t="str">
        <f>IFERROR(INDEX('Raw Data'!$C$2:$C$201,MATCH(ROW()-4,'Raw Data'!$L$2:$L$201,0)),"")</f>
        <v>Registered</v>
      </c>
      <c r="G83" s="18" t="str">
        <f>IFERROR(INDEX('Raw Data'!$K$2:$K$201,MATCH(ROW()-4,'Raw Data'!$L$2:$L$201,0)),"")</f>
        <v>Follow up on absence</v>
      </c>
      <c r="H83" s="18" t="str">
        <f t="shared" si="9"/>
        <v>High</v>
      </c>
      <c r="I83" s="18" t="str">
        <f t="shared" si="10"/>
        <v>Learning Ops</v>
      </c>
      <c r="J83" s="19">
        <f>IFERROR(INDEX('Raw Data'!$G$2:$G$201,MATCH(ROW()-4,'Raw Data'!$L$2:$L$201,0))+7,"")</f>
        <v>46222</v>
      </c>
      <c r="K83" s="18" t="str">
        <f t="shared" si="11"/>
        <v>Open</v>
      </c>
    </row>
    <row r="84" spans="1:11" x14ac:dyDescent="0.3">
      <c r="A84" s="18" t="str">
        <f t="shared" si="8"/>
        <v>ACT-080</v>
      </c>
      <c r="B84" s="18" t="str">
        <f>IFERROR(INDEX('Raw Data'!$A$2:$A$201,MATCH(ROW()-4,'Raw Data'!$L$2:$L$201,0)),"")</f>
        <v>P151</v>
      </c>
      <c r="C84" s="15" t="str">
        <f>IFERROR(INDEX('Raw Data'!$B$2:$B$201,MATCH(ROW()-4,'Raw Data'!$L$2:$L$201,0)),"")</f>
        <v>Swati Nair</v>
      </c>
      <c r="D84" s="18" t="str">
        <f>IFERROR(INDEX('Raw Data'!$D$2:$D$201,MATCH(ROW()-4,'Raw Data'!$L$2:$L$201,0)),"")</f>
        <v>Excel Fundamentals</v>
      </c>
      <c r="E84" s="18" t="str">
        <f>IFERROR(INDEX('Raw Data'!$E$2:$E$201,MATCH(ROW()-4,'Raw Data'!$L$2:$L$201,0)),"")</f>
        <v>A</v>
      </c>
      <c r="F84" s="18" t="str">
        <f>IFERROR(INDEX('Raw Data'!$C$2:$C$201,MATCH(ROW()-4,'Raw Data'!$L$2:$L$201,0)),"")</f>
        <v>Registered</v>
      </c>
      <c r="G84" s="18" t="str">
        <f>IFERROR(INDEX('Raw Data'!$K$2:$K$201,MATCH(ROW()-4,'Raw Data'!$L$2:$L$201,0)),"")</f>
        <v>Follow up on absence</v>
      </c>
      <c r="H84" s="18" t="str">
        <f t="shared" si="9"/>
        <v>High</v>
      </c>
      <c r="I84" s="18" t="str">
        <f t="shared" si="10"/>
        <v>Learning Ops</v>
      </c>
      <c r="J84" s="19">
        <f>IFERROR(INDEX('Raw Data'!$G$2:$G$201,MATCH(ROW()-4,'Raw Data'!$L$2:$L$201,0))+7,"")</f>
        <v>46153</v>
      </c>
      <c r="K84" s="18" t="str">
        <f t="shared" si="11"/>
        <v>Open</v>
      </c>
    </row>
    <row r="85" spans="1:11" x14ac:dyDescent="0.3">
      <c r="A85" s="18" t="str">
        <f t="shared" si="8"/>
        <v>ACT-081</v>
      </c>
      <c r="B85" s="18" t="str">
        <f>IFERROR(INDEX('Raw Data'!$A$2:$A$201,MATCH(ROW()-4,'Raw Data'!$L$2:$L$201,0)),"")</f>
        <v>P152</v>
      </c>
      <c r="C85" s="15" t="str">
        <f>IFERROR(INDEX('Raw Data'!$B$2:$B$201,MATCH(ROW()-4,'Raw Data'!$L$2:$L$201,0)),"")</f>
        <v>Ishaan Desai</v>
      </c>
      <c r="D85" s="18" t="str">
        <f>IFERROR(INDEX('Raw Data'!$D$2:$D$201,MATCH(ROW()-4,'Raw Data'!$L$2:$L$201,0)),"")</f>
        <v>Data Analytics Basics</v>
      </c>
      <c r="E85" s="18" t="str">
        <f>IFERROR(INDEX('Raw Data'!$E$2:$E$201,MATCH(ROW()-4,'Raw Data'!$L$2:$L$201,0)),"")</f>
        <v>D</v>
      </c>
      <c r="F85" s="18" t="str">
        <f>IFERROR(INDEX('Raw Data'!$C$2:$C$201,MATCH(ROW()-4,'Raw Data'!$L$2:$L$201,0)),"")</f>
        <v>Registered</v>
      </c>
      <c r="G85" s="18" t="str">
        <f>IFERROR(INDEX('Raw Data'!$K$2:$K$201,MATCH(ROW()-4,'Raw Data'!$L$2:$L$201,0)),"")</f>
        <v>Follow up - dropped participant</v>
      </c>
      <c r="H85" s="18" t="str">
        <f t="shared" si="9"/>
        <v>High</v>
      </c>
      <c r="I85" s="18" t="str">
        <f t="shared" si="10"/>
        <v>Learning Ops</v>
      </c>
      <c r="J85" s="19">
        <f>IFERROR(INDEX('Raw Data'!$G$2:$G$201,MATCH(ROW()-4,'Raw Data'!$L$2:$L$201,0))+7,"")</f>
        <v>46174</v>
      </c>
      <c r="K85" s="18" t="str">
        <f t="shared" si="11"/>
        <v>Open</v>
      </c>
    </row>
    <row r="86" spans="1:11" x14ac:dyDescent="0.3">
      <c r="A86" s="18" t="str">
        <f t="shared" si="8"/>
        <v>ACT-082</v>
      </c>
      <c r="B86" s="18" t="str">
        <f>IFERROR(INDEX('Raw Data'!$A$2:$A$201,MATCH(ROW()-4,'Raw Data'!$L$2:$L$201,0)),"")</f>
        <v>P159</v>
      </c>
      <c r="C86" s="15" t="str">
        <f>IFERROR(INDEX('Raw Data'!$B$2:$B$201,MATCH(ROW()-4,'Raw Data'!$L$2:$L$201,0)),"")</f>
        <v>Vivaan Rana</v>
      </c>
      <c r="D86" s="18" t="str">
        <f>IFERROR(INDEX('Raw Data'!$D$2:$D$201,MATCH(ROW()-4,'Raw Data'!$L$2:$L$201,0)),"")</f>
        <v>SQL for Beginners</v>
      </c>
      <c r="E86" s="18" t="str">
        <f>IFERROR(INDEX('Raw Data'!$E$2:$E$201,MATCH(ROW()-4,'Raw Data'!$L$2:$L$201,0)),"")</f>
        <v>C</v>
      </c>
      <c r="F86" s="18" t="str">
        <f>IFERROR(INDEX('Raw Data'!$C$2:$C$201,MATCH(ROW()-4,'Raw Data'!$L$2:$L$201,0)),"")</f>
        <v>Waitlisted</v>
      </c>
      <c r="G86" s="18" t="str">
        <f>IFERROR(INDEX('Raw Data'!$K$2:$K$201,MATCH(ROW()-4,'Raw Data'!$L$2:$L$201,0)),"")</f>
        <v>Resolve waitlist</v>
      </c>
      <c r="H86" s="18" t="str">
        <f t="shared" si="9"/>
        <v>High</v>
      </c>
      <c r="I86" s="18" t="str">
        <f t="shared" si="10"/>
        <v>Program Coordinator</v>
      </c>
      <c r="J86" s="19">
        <f>IFERROR(INDEX('Raw Data'!$G$2:$G$201,MATCH(ROW()-4,'Raw Data'!$L$2:$L$201,0))+7,"")</f>
        <v>46207</v>
      </c>
      <c r="K86" s="18" t="str">
        <f t="shared" si="11"/>
        <v>Open</v>
      </c>
    </row>
    <row r="87" spans="1:11" x14ac:dyDescent="0.3">
      <c r="A87" s="18" t="str">
        <f t="shared" si="8"/>
        <v>ACT-083</v>
      </c>
      <c r="B87" s="18" t="str">
        <f>IFERROR(INDEX('Raw Data'!$A$2:$A$201,MATCH(ROW()-4,'Raw Data'!$L$2:$L$201,0)),"")</f>
        <v>P162</v>
      </c>
      <c r="C87" s="15" t="str">
        <f>IFERROR(INDEX('Raw Data'!$B$2:$B$201,MATCH(ROW()-4,'Raw Data'!$L$2:$L$201,0)),"")</f>
        <v>Arjun Naidu</v>
      </c>
      <c r="D87" s="18" t="str">
        <f>IFERROR(INDEX('Raw Data'!$D$2:$D$201,MATCH(ROW()-4,'Raw Data'!$L$2:$L$201,0)),"")</f>
        <v>Data Analytics Basics</v>
      </c>
      <c r="E87" s="18" t="str">
        <f>IFERROR(INDEX('Raw Data'!$E$2:$E$201,MATCH(ROW()-4,'Raw Data'!$L$2:$L$201,0)),"")</f>
        <v>C</v>
      </c>
      <c r="F87" s="18" t="str">
        <f>IFERROR(INDEX('Raw Data'!$C$2:$C$201,MATCH(ROW()-4,'Raw Data'!$L$2:$L$201,0)),"")</f>
        <v>Waitlisted</v>
      </c>
      <c r="G87" s="18" t="str">
        <f>IFERROR(INDEX('Raw Data'!$K$2:$K$201,MATCH(ROW()-4,'Raw Data'!$L$2:$L$201,0)),"")</f>
        <v>Resolve waitlist</v>
      </c>
      <c r="H87" s="18" t="str">
        <f t="shared" si="9"/>
        <v>High</v>
      </c>
      <c r="I87" s="18" t="str">
        <f t="shared" si="10"/>
        <v>Program Coordinator</v>
      </c>
      <c r="J87" s="19">
        <f>IFERROR(INDEX('Raw Data'!$G$2:$G$201,MATCH(ROW()-4,'Raw Data'!$L$2:$L$201,0))+7,"")</f>
        <v>46171</v>
      </c>
      <c r="K87" s="18" t="str">
        <f t="shared" si="11"/>
        <v>Open</v>
      </c>
    </row>
    <row r="88" spans="1:11" x14ac:dyDescent="0.3">
      <c r="A88" s="18" t="str">
        <f t="shared" si="8"/>
        <v>ACT-084</v>
      </c>
      <c r="B88" s="18" t="str">
        <f>IFERROR(INDEX('Raw Data'!$A$2:$A$201,MATCH(ROW()-4,'Raw Data'!$L$2:$L$201,0)),"")</f>
        <v>P164</v>
      </c>
      <c r="C88" s="15" t="str">
        <f>IFERROR(INDEX('Raw Data'!$B$2:$B$201,MATCH(ROW()-4,'Raw Data'!$L$2:$L$201,0)),"")</f>
        <v>Varun Joshi</v>
      </c>
      <c r="D88" s="18" t="str">
        <f>IFERROR(INDEX('Raw Data'!$D$2:$D$201,MATCH(ROW()-4,'Raw Data'!$L$2:$L$201,0)),"")</f>
        <v>Leadership Essentials</v>
      </c>
      <c r="E88" s="18" t="str">
        <f>IFERROR(INDEX('Raw Data'!$E$2:$E$201,MATCH(ROW()-4,'Raw Data'!$L$2:$L$201,0)),"")</f>
        <v>C</v>
      </c>
      <c r="F88" s="18" t="str">
        <f>IFERROR(INDEX('Raw Data'!$C$2:$C$201,MATCH(ROW()-4,'Raw Data'!$L$2:$L$201,0)),"")</f>
        <v>Waitlisted</v>
      </c>
      <c r="G88" s="18" t="str">
        <f>IFERROR(INDEX('Raw Data'!$K$2:$K$201,MATCH(ROW()-4,'Raw Data'!$L$2:$L$201,0)),"")</f>
        <v>Resolve waitlist</v>
      </c>
      <c r="H88" s="18" t="str">
        <f t="shared" si="9"/>
        <v>High</v>
      </c>
      <c r="I88" s="18" t="str">
        <f t="shared" si="10"/>
        <v>Program Coordinator</v>
      </c>
      <c r="J88" s="19">
        <f>IFERROR(INDEX('Raw Data'!$G$2:$G$201,MATCH(ROW()-4,'Raw Data'!$L$2:$L$201,0))+7,"")</f>
        <v>46219</v>
      </c>
      <c r="K88" s="18" t="str">
        <f t="shared" si="11"/>
        <v>Open</v>
      </c>
    </row>
    <row r="89" spans="1:11" x14ac:dyDescent="0.3">
      <c r="A89" s="18" t="str">
        <f t="shared" si="8"/>
        <v>ACT-085</v>
      </c>
      <c r="B89" s="18" t="str">
        <f>IFERROR(INDEX('Raw Data'!$A$2:$A$201,MATCH(ROW()-4,'Raw Data'!$L$2:$L$201,0)),"")</f>
        <v>P165</v>
      </c>
      <c r="C89" s="15" t="str">
        <f>IFERROR(INDEX('Raw Data'!$B$2:$B$201,MATCH(ROW()-4,'Raw Data'!$L$2:$L$201,0)),"")</f>
        <v>Nisha Malhotra</v>
      </c>
      <c r="D89" s="18" t="str">
        <f>IFERROR(INDEX('Raw Data'!$D$2:$D$201,MATCH(ROW()-4,'Raw Data'!$L$2:$L$201,0)),"")</f>
        <v>Leadership Essentials</v>
      </c>
      <c r="E89" s="18" t="str">
        <f>IFERROR(INDEX('Raw Data'!$E$2:$E$201,MATCH(ROW()-4,'Raw Data'!$L$2:$L$201,0)),"")</f>
        <v>B</v>
      </c>
      <c r="F89" s="18" t="str">
        <f>IFERROR(INDEX('Raw Data'!$C$2:$C$201,MATCH(ROW()-4,'Raw Data'!$L$2:$L$201,0)),"")</f>
        <v>Registered</v>
      </c>
      <c r="G89" s="18" t="str">
        <f>IFERROR(INDEX('Raw Data'!$K$2:$K$201,MATCH(ROW()-4,'Raw Data'!$L$2:$L$201,0)),"")</f>
        <v>Send completion certificate</v>
      </c>
      <c r="H89" s="18" t="str">
        <f t="shared" si="9"/>
        <v>Medium</v>
      </c>
      <c r="I89" s="18" t="str">
        <f t="shared" si="10"/>
        <v>Learning Ops</v>
      </c>
      <c r="J89" s="19">
        <f>IFERROR(INDEX('Raw Data'!$G$2:$G$201,MATCH(ROW()-4,'Raw Data'!$L$2:$L$201,0))+7,"")</f>
        <v>46216</v>
      </c>
      <c r="K89" s="18" t="str">
        <f t="shared" si="11"/>
        <v>Open</v>
      </c>
    </row>
    <row r="90" spans="1:11" x14ac:dyDescent="0.3">
      <c r="A90" s="18" t="str">
        <f t="shared" si="8"/>
        <v>ACT-086</v>
      </c>
      <c r="B90" s="18" t="str">
        <f>IFERROR(INDEX('Raw Data'!$A$2:$A$201,MATCH(ROW()-4,'Raw Data'!$L$2:$L$201,0)),"")</f>
        <v>P169</v>
      </c>
      <c r="C90" s="15" t="str">
        <f>IFERROR(INDEX('Raw Data'!$B$2:$B$201,MATCH(ROW()-4,'Raw Data'!$L$2:$L$201,0)),"")</f>
        <v>Pooja Banerjee</v>
      </c>
      <c r="D90" s="18" t="str">
        <f>IFERROR(INDEX('Raw Data'!$D$2:$D$201,MATCH(ROW()-4,'Raw Data'!$L$2:$L$201,0)),"")</f>
        <v>Excel Fundamentals</v>
      </c>
      <c r="E90" s="18" t="str">
        <f>IFERROR(INDEX('Raw Data'!$E$2:$E$201,MATCH(ROW()-4,'Raw Data'!$L$2:$L$201,0)),"")</f>
        <v>C</v>
      </c>
      <c r="F90" s="18" t="str">
        <f>IFERROR(INDEX('Raw Data'!$C$2:$C$201,MATCH(ROW()-4,'Raw Data'!$L$2:$L$201,0)),"")</f>
        <v>Registered</v>
      </c>
      <c r="G90" s="18" t="str">
        <f>IFERROR(INDEX('Raw Data'!$K$2:$K$201,MATCH(ROW()-4,'Raw Data'!$L$2:$L$201,0)),"")</f>
        <v>Send completion certificate</v>
      </c>
      <c r="H90" s="18" t="str">
        <f t="shared" si="9"/>
        <v>Medium</v>
      </c>
      <c r="I90" s="18" t="str">
        <f t="shared" si="10"/>
        <v>Learning Ops</v>
      </c>
      <c r="J90" s="19">
        <f>IFERROR(INDEX('Raw Data'!$G$2:$G$201,MATCH(ROW()-4,'Raw Data'!$L$2:$L$201,0))+7,"")</f>
        <v>46159</v>
      </c>
      <c r="K90" s="18" t="str">
        <f t="shared" si="11"/>
        <v>Open</v>
      </c>
    </row>
    <row r="91" spans="1:11" x14ac:dyDescent="0.3">
      <c r="A91" s="18" t="str">
        <f t="shared" si="8"/>
        <v>ACT-087</v>
      </c>
      <c r="B91" s="18" t="str">
        <f>IFERROR(INDEX('Raw Data'!$A$2:$A$201,MATCH(ROW()-4,'Raw Data'!$L$2:$L$201,0)),"")</f>
        <v>P170</v>
      </c>
      <c r="C91" s="15" t="str">
        <f>IFERROR(INDEX('Raw Data'!$B$2:$B$201,MATCH(ROW()-4,'Raw Data'!$L$2:$L$201,0)),"")</f>
        <v>Aarav Bose</v>
      </c>
      <c r="D91" s="18" t="str">
        <f>IFERROR(INDEX('Raw Data'!$D$2:$D$201,MATCH(ROW()-4,'Raw Data'!$L$2:$L$201,0)),"")</f>
        <v>Communication Skills</v>
      </c>
      <c r="E91" s="18" t="str">
        <f>IFERROR(INDEX('Raw Data'!$E$2:$E$201,MATCH(ROW()-4,'Raw Data'!$L$2:$L$201,0)),"")</f>
        <v>C</v>
      </c>
      <c r="F91" s="18" t="str">
        <f>IFERROR(INDEX('Raw Data'!$C$2:$C$201,MATCH(ROW()-4,'Raw Data'!$L$2:$L$201,0)),"")</f>
        <v>Registered</v>
      </c>
      <c r="G91" s="18" t="str">
        <f>IFERROR(INDEX('Raw Data'!$K$2:$K$201,MATCH(ROW()-4,'Raw Data'!$L$2:$L$201,0)),"")</f>
        <v>Follow up on absence</v>
      </c>
      <c r="H91" s="18" t="str">
        <f t="shared" si="9"/>
        <v>High</v>
      </c>
      <c r="I91" s="18" t="str">
        <f t="shared" si="10"/>
        <v>Learning Ops</v>
      </c>
      <c r="J91" s="19">
        <f>IFERROR(INDEX('Raw Data'!$G$2:$G$201,MATCH(ROW()-4,'Raw Data'!$L$2:$L$201,0))+7,"")</f>
        <v>46183</v>
      </c>
      <c r="K91" s="18" t="str">
        <f t="shared" si="11"/>
        <v>Open</v>
      </c>
    </row>
    <row r="92" spans="1:11" x14ac:dyDescent="0.3">
      <c r="A92" s="18" t="str">
        <f t="shared" si="8"/>
        <v>ACT-088</v>
      </c>
      <c r="B92" s="18" t="str">
        <f>IFERROR(INDEX('Raw Data'!$A$2:$A$201,MATCH(ROW()-4,'Raw Data'!$L$2:$L$201,0)),"")</f>
        <v>P171</v>
      </c>
      <c r="C92" s="15" t="str">
        <f>IFERROR(INDEX('Raw Data'!$B$2:$B$201,MATCH(ROW()-4,'Raw Data'!$L$2:$L$201,0)),"")</f>
        <v>Sunita Desai</v>
      </c>
      <c r="D92" s="18" t="str">
        <f>IFERROR(INDEX('Raw Data'!$D$2:$D$201,MATCH(ROW()-4,'Raw Data'!$L$2:$L$201,0)),"")</f>
        <v>Project Management 101</v>
      </c>
      <c r="E92" s="18" t="str">
        <f>IFERROR(INDEX('Raw Data'!$E$2:$E$201,MATCH(ROW()-4,'Raw Data'!$L$2:$L$201,0)),"")</f>
        <v>B</v>
      </c>
      <c r="F92" s="18" t="str">
        <f>IFERROR(INDEX('Raw Data'!$C$2:$C$201,MATCH(ROW()-4,'Raw Data'!$L$2:$L$201,0)),"")</f>
        <v>Registered</v>
      </c>
      <c r="G92" s="18" t="str">
        <f>IFERROR(INDEX('Raw Data'!$K$2:$K$201,MATCH(ROW()-4,'Raw Data'!$L$2:$L$201,0)),"")</f>
        <v>Collect interim feedback</v>
      </c>
      <c r="H92" s="18" t="str">
        <f t="shared" si="9"/>
        <v>Medium</v>
      </c>
      <c r="I92" s="18" t="str">
        <f t="shared" si="10"/>
        <v>Learning Ops</v>
      </c>
      <c r="J92" s="19">
        <f>IFERROR(INDEX('Raw Data'!$G$2:$G$201,MATCH(ROW()-4,'Raw Data'!$L$2:$L$201,0))+7,"")</f>
        <v>46192</v>
      </c>
      <c r="K92" s="18" t="str">
        <f t="shared" si="11"/>
        <v>Open</v>
      </c>
    </row>
    <row r="93" spans="1:11" x14ac:dyDescent="0.3">
      <c r="A93" s="18" t="str">
        <f t="shared" si="8"/>
        <v>ACT-089</v>
      </c>
      <c r="B93" s="18" t="str">
        <f>IFERROR(INDEX('Raw Data'!$A$2:$A$201,MATCH(ROW()-4,'Raw Data'!$L$2:$L$201,0)),"")</f>
        <v>P173</v>
      </c>
      <c r="C93" s="15" t="str">
        <f>IFERROR(INDEX('Raw Data'!$B$2:$B$201,MATCH(ROW()-4,'Raw Data'!$L$2:$L$201,0)),"")</f>
        <v>Usha Chawla</v>
      </c>
      <c r="D93" s="18" t="str">
        <f>IFERROR(INDEX('Raw Data'!$D$2:$D$201,MATCH(ROW()-4,'Raw Data'!$L$2:$L$201,0)),"")</f>
        <v>Leadership Essentials</v>
      </c>
      <c r="E93" s="18" t="str">
        <f>IFERROR(INDEX('Raw Data'!$E$2:$E$201,MATCH(ROW()-4,'Raw Data'!$L$2:$L$201,0)),"")</f>
        <v>A</v>
      </c>
      <c r="F93" s="18" t="str">
        <f>IFERROR(INDEX('Raw Data'!$C$2:$C$201,MATCH(ROW()-4,'Raw Data'!$L$2:$L$201,0)),"")</f>
        <v>Registered</v>
      </c>
      <c r="G93" s="18" t="str">
        <f>IFERROR(INDEX('Raw Data'!$K$2:$K$201,MATCH(ROW()-4,'Raw Data'!$L$2:$L$201,0)),"")</f>
        <v>Collect interim feedback</v>
      </c>
      <c r="H93" s="18" t="str">
        <f t="shared" si="9"/>
        <v>Medium</v>
      </c>
      <c r="I93" s="18" t="str">
        <f t="shared" si="10"/>
        <v>Learning Ops</v>
      </c>
      <c r="J93" s="19">
        <f>IFERROR(INDEX('Raw Data'!$G$2:$G$201,MATCH(ROW()-4,'Raw Data'!$L$2:$L$201,0))+7,"")</f>
        <v>46213</v>
      </c>
      <c r="K93" s="18" t="str">
        <f t="shared" si="11"/>
        <v>Open</v>
      </c>
    </row>
    <row r="94" spans="1:11" x14ac:dyDescent="0.3">
      <c r="A94" s="18" t="str">
        <f t="shared" si="8"/>
        <v>ACT-090</v>
      </c>
      <c r="B94" s="18" t="str">
        <f>IFERROR(INDEX('Raw Data'!$A$2:$A$201,MATCH(ROW()-4,'Raw Data'!$L$2:$L$201,0)),"")</f>
        <v>P175</v>
      </c>
      <c r="C94" s="15" t="str">
        <f>IFERROR(INDEX('Raw Data'!$B$2:$B$201,MATCH(ROW()-4,'Raw Data'!$L$2:$L$201,0)),"")</f>
        <v>Sneha Banerjee</v>
      </c>
      <c r="D94" s="18" t="str">
        <f>IFERROR(INDEX('Raw Data'!$D$2:$D$201,MATCH(ROW()-4,'Raw Data'!$L$2:$L$201,0)),"")</f>
        <v>Project Management 101</v>
      </c>
      <c r="E94" s="18" t="str">
        <f>IFERROR(INDEX('Raw Data'!$E$2:$E$201,MATCH(ROW()-4,'Raw Data'!$L$2:$L$201,0)),"")</f>
        <v>B</v>
      </c>
      <c r="F94" s="18" t="str">
        <f>IFERROR(INDEX('Raw Data'!$C$2:$C$201,MATCH(ROW()-4,'Raw Data'!$L$2:$L$201,0)),"")</f>
        <v>Waitlisted</v>
      </c>
      <c r="G94" s="18" t="str">
        <f>IFERROR(INDEX('Raw Data'!$K$2:$K$201,MATCH(ROW()-4,'Raw Data'!$L$2:$L$201,0)),"")</f>
        <v>Resolve waitlist</v>
      </c>
      <c r="H94" s="18" t="str">
        <f t="shared" si="9"/>
        <v>High</v>
      </c>
      <c r="I94" s="18" t="str">
        <f t="shared" si="10"/>
        <v>Program Coordinator</v>
      </c>
      <c r="J94" s="19">
        <f>IFERROR(INDEX('Raw Data'!$G$2:$G$201,MATCH(ROW()-4,'Raw Data'!$L$2:$L$201,0))+7,"")</f>
        <v>46192</v>
      </c>
      <c r="K94" s="18" t="str">
        <f t="shared" si="11"/>
        <v>Open</v>
      </c>
    </row>
    <row r="95" spans="1:11" x14ac:dyDescent="0.3">
      <c r="A95" s="18" t="str">
        <f t="shared" si="8"/>
        <v>ACT-091</v>
      </c>
      <c r="B95" s="18" t="str">
        <f>IFERROR(INDEX('Raw Data'!$A$2:$A$201,MATCH(ROW()-4,'Raw Data'!$L$2:$L$201,0)),"")</f>
        <v>P177</v>
      </c>
      <c r="C95" s="15" t="str">
        <f>IFERROR(INDEX('Raw Data'!$B$2:$B$201,MATCH(ROW()-4,'Raw Data'!$L$2:$L$201,0)),"")</f>
        <v>Varun Desai</v>
      </c>
      <c r="D95" s="18" t="str">
        <f>IFERROR(INDEX('Raw Data'!$D$2:$D$201,MATCH(ROW()-4,'Raw Data'!$L$2:$L$201,0)),"")</f>
        <v>SQL for Beginners</v>
      </c>
      <c r="E95" s="18" t="str">
        <f>IFERROR(INDEX('Raw Data'!$E$2:$E$201,MATCH(ROW()-4,'Raw Data'!$L$2:$L$201,0)),"")</f>
        <v>B</v>
      </c>
      <c r="F95" s="18" t="str">
        <f>IFERROR(INDEX('Raw Data'!$C$2:$C$201,MATCH(ROW()-4,'Raw Data'!$L$2:$L$201,0)),"")</f>
        <v>Registered</v>
      </c>
      <c r="G95" s="18" t="str">
        <f>IFERROR(INDEX('Raw Data'!$K$2:$K$201,MATCH(ROW()-4,'Raw Data'!$L$2:$L$201,0)),"")</f>
        <v>Follow up on absence</v>
      </c>
      <c r="H95" s="18" t="str">
        <f t="shared" si="9"/>
        <v>High</v>
      </c>
      <c r="I95" s="18" t="str">
        <f t="shared" si="10"/>
        <v>Learning Ops</v>
      </c>
      <c r="J95" s="19">
        <f>IFERROR(INDEX('Raw Data'!$G$2:$G$201,MATCH(ROW()-4,'Raw Data'!$L$2:$L$201,0))+7,"")</f>
        <v>46204</v>
      </c>
      <c r="K95" s="18" t="str">
        <f t="shared" si="11"/>
        <v>Open</v>
      </c>
    </row>
    <row r="96" spans="1:11" x14ac:dyDescent="0.3">
      <c r="A96" s="18" t="str">
        <f t="shared" si="8"/>
        <v>ACT-092</v>
      </c>
      <c r="B96" s="18" t="str">
        <f>IFERROR(INDEX('Raw Data'!$A$2:$A$201,MATCH(ROW()-4,'Raw Data'!$L$2:$L$201,0)),"")</f>
        <v>P179</v>
      </c>
      <c r="C96" s="15" t="str">
        <f>IFERROR(INDEX('Raw Data'!$B$2:$B$201,MATCH(ROW()-4,'Raw Data'!$L$2:$L$201,0)),"")</f>
        <v>Rahul Bose</v>
      </c>
      <c r="D96" s="18" t="str">
        <f>IFERROR(INDEX('Raw Data'!$D$2:$D$201,MATCH(ROW()-4,'Raw Data'!$L$2:$L$201,0)),"")</f>
        <v>Leadership Essentials</v>
      </c>
      <c r="E96" s="18" t="str">
        <f>IFERROR(INDEX('Raw Data'!$E$2:$E$201,MATCH(ROW()-4,'Raw Data'!$L$2:$L$201,0)),"")</f>
        <v>D</v>
      </c>
      <c r="F96" s="18" t="str">
        <f>IFERROR(INDEX('Raw Data'!$C$2:$C$201,MATCH(ROW()-4,'Raw Data'!$L$2:$L$201,0)),"")</f>
        <v>Registered</v>
      </c>
      <c r="G96" s="18" t="str">
        <f>IFERROR(INDEX('Raw Data'!$K$2:$K$201,MATCH(ROW()-4,'Raw Data'!$L$2:$L$201,0)),"")</f>
        <v>Follow up on absence</v>
      </c>
      <c r="H96" s="18" t="str">
        <f t="shared" si="9"/>
        <v>High</v>
      </c>
      <c r="I96" s="18" t="str">
        <f t="shared" si="10"/>
        <v>Learning Ops</v>
      </c>
      <c r="J96" s="19">
        <f>IFERROR(INDEX('Raw Data'!$G$2:$G$201,MATCH(ROW()-4,'Raw Data'!$L$2:$L$201,0))+7,"")</f>
        <v>46222</v>
      </c>
      <c r="K96" s="18" t="str">
        <f t="shared" si="11"/>
        <v>Open</v>
      </c>
    </row>
    <row r="97" spans="1:11" x14ac:dyDescent="0.3">
      <c r="A97" s="18" t="str">
        <f t="shared" si="8"/>
        <v>ACT-093</v>
      </c>
      <c r="B97" s="18" t="str">
        <f>IFERROR(INDEX('Raw Data'!$A$2:$A$201,MATCH(ROW()-4,'Raw Data'!$L$2:$L$201,0)),"")</f>
        <v>P180</v>
      </c>
      <c r="C97" s="15" t="str">
        <f>IFERROR(INDEX('Raw Data'!$B$2:$B$201,MATCH(ROW()-4,'Raw Data'!$L$2:$L$201,0)),"")</f>
        <v>Sai Mehta</v>
      </c>
      <c r="D97" s="18" t="str">
        <f>IFERROR(INDEX('Raw Data'!$D$2:$D$201,MATCH(ROW()-4,'Raw Data'!$L$2:$L$201,0)),"")</f>
        <v>Data Analytics Basics</v>
      </c>
      <c r="E97" s="18" t="str">
        <f>IFERROR(INDEX('Raw Data'!$E$2:$E$201,MATCH(ROW()-4,'Raw Data'!$L$2:$L$201,0)),"")</f>
        <v>D</v>
      </c>
      <c r="F97" s="18" t="str">
        <f>IFERROR(INDEX('Raw Data'!$C$2:$C$201,MATCH(ROW()-4,'Raw Data'!$L$2:$L$201,0)),"")</f>
        <v>Registered</v>
      </c>
      <c r="G97" s="18" t="str">
        <f>IFERROR(INDEX('Raw Data'!$K$2:$K$201,MATCH(ROW()-4,'Raw Data'!$L$2:$L$201,0)),"")</f>
        <v>Follow up - dropped participant</v>
      </c>
      <c r="H97" s="18" t="str">
        <f t="shared" si="9"/>
        <v>High</v>
      </c>
      <c r="I97" s="18" t="str">
        <f t="shared" si="10"/>
        <v>Learning Ops</v>
      </c>
      <c r="J97" s="19">
        <f>IFERROR(INDEX('Raw Data'!$G$2:$G$201,MATCH(ROW()-4,'Raw Data'!$L$2:$L$201,0))+7,"")</f>
        <v>46174</v>
      </c>
      <c r="K97" s="18" t="str">
        <f t="shared" si="11"/>
        <v>Open</v>
      </c>
    </row>
    <row r="98" spans="1:11" x14ac:dyDescent="0.3">
      <c r="A98" s="18" t="str">
        <f t="shared" si="8"/>
        <v>ACT-094</v>
      </c>
      <c r="B98" s="18" t="str">
        <f>IFERROR(INDEX('Raw Data'!$A$2:$A$201,MATCH(ROW()-4,'Raw Data'!$L$2:$L$201,0)),"")</f>
        <v>P181</v>
      </c>
      <c r="C98" s="15" t="str">
        <f>IFERROR(INDEX('Raw Data'!$B$2:$B$201,MATCH(ROW()-4,'Raw Data'!$L$2:$L$201,0)),"")</f>
        <v>Pari Kapoor</v>
      </c>
      <c r="D98" s="18" t="str">
        <f>IFERROR(INDEX('Raw Data'!$D$2:$D$201,MATCH(ROW()-4,'Raw Data'!$L$2:$L$201,0)),"")</f>
        <v>Project Management 101</v>
      </c>
      <c r="E98" s="18" t="str">
        <f>IFERROR(INDEX('Raw Data'!$E$2:$E$201,MATCH(ROW()-4,'Raw Data'!$L$2:$L$201,0)),"")</f>
        <v>C</v>
      </c>
      <c r="F98" s="18" t="str">
        <f>IFERROR(INDEX('Raw Data'!$C$2:$C$201,MATCH(ROW()-4,'Raw Data'!$L$2:$L$201,0)),"")</f>
        <v>Registered</v>
      </c>
      <c r="G98" s="18" t="str">
        <f>IFERROR(INDEX('Raw Data'!$K$2:$K$201,MATCH(ROW()-4,'Raw Data'!$L$2:$L$201,0)),"")</f>
        <v>Send completion certificate</v>
      </c>
      <c r="H98" s="18" t="str">
        <f t="shared" si="9"/>
        <v>Medium</v>
      </c>
      <c r="I98" s="18" t="str">
        <f t="shared" si="10"/>
        <v>Learning Ops</v>
      </c>
      <c r="J98" s="19">
        <f>IFERROR(INDEX('Raw Data'!$G$2:$G$201,MATCH(ROW()-4,'Raw Data'!$L$2:$L$201,0))+7,"")</f>
        <v>46195</v>
      </c>
      <c r="K98" s="18" t="str">
        <f t="shared" si="11"/>
        <v>Open</v>
      </c>
    </row>
    <row r="99" spans="1:11" x14ac:dyDescent="0.3">
      <c r="A99" s="18" t="str">
        <f t="shared" si="8"/>
        <v>ACT-095</v>
      </c>
      <c r="B99" s="18" t="str">
        <f>IFERROR(INDEX('Raw Data'!$A$2:$A$201,MATCH(ROW()-4,'Raw Data'!$L$2:$L$201,0)),"")</f>
        <v>P186</v>
      </c>
      <c r="C99" s="15" t="str">
        <f>IFERROR(INDEX('Raw Data'!$B$2:$B$201,MATCH(ROW()-4,'Raw Data'!$L$2:$L$201,0)),"")</f>
        <v>Suresh Malhotra</v>
      </c>
      <c r="D99" s="18" t="str">
        <f>IFERROR(INDEX('Raw Data'!$D$2:$D$201,MATCH(ROW()-4,'Raw Data'!$L$2:$L$201,0)),"")</f>
        <v>Data Analytics Basics</v>
      </c>
      <c r="E99" s="18" t="str">
        <f>IFERROR(INDEX('Raw Data'!$E$2:$E$201,MATCH(ROW()-4,'Raw Data'!$L$2:$L$201,0)),"")</f>
        <v>C</v>
      </c>
      <c r="F99" s="18" t="str">
        <f>IFERROR(INDEX('Raw Data'!$C$2:$C$201,MATCH(ROW()-4,'Raw Data'!$L$2:$L$201,0)),"")</f>
        <v>Registered</v>
      </c>
      <c r="G99" s="18" t="str">
        <f>IFERROR(INDEX('Raw Data'!$K$2:$K$201,MATCH(ROW()-4,'Raw Data'!$L$2:$L$201,0)),"")</f>
        <v>Collect interim feedback</v>
      </c>
      <c r="H99" s="18" t="str">
        <f t="shared" si="9"/>
        <v>Medium</v>
      </c>
      <c r="I99" s="18" t="str">
        <f t="shared" si="10"/>
        <v>Learning Ops</v>
      </c>
      <c r="J99" s="19">
        <f>IFERROR(INDEX('Raw Data'!$G$2:$G$201,MATCH(ROW()-4,'Raw Data'!$L$2:$L$201,0))+7,"")</f>
        <v>46171</v>
      </c>
      <c r="K99" s="18" t="str">
        <f t="shared" si="11"/>
        <v>Open</v>
      </c>
    </row>
    <row r="100" spans="1:11" x14ac:dyDescent="0.3">
      <c r="A100" s="18" t="str">
        <f t="shared" si="8"/>
        <v>ACT-096</v>
      </c>
      <c r="B100" s="18" t="str">
        <f>IFERROR(INDEX('Raw Data'!$A$2:$A$201,MATCH(ROW()-4,'Raw Data'!$L$2:$L$201,0)),"")</f>
        <v>P187</v>
      </c>
      <c r="C100" s="15" t="str">
        <f>IFERROR(INDEX('Raw Data'!$B$2:$B$201,MATCH(ROW()-4,'Raw Data'!$L$2:$L$201,0)),"")</f>
        <v>Karthik Mehta</v>
      </c>
      <c r="D100" s="18" t="str">
        <f>IFERROR(INDEX('Raw Data'!$D$2:$D$201,MATCH(ROW()-4,'Raw Data'!$L$2:$L$201,0)),"")</f>
        <v>Communication Skills</v>
      </c>
      <c r="E100" s="18" t="str">
        <f>IFERROR(INDEX('Raw Data'!$E$2:$E$201,MATCH(ROW()-4,'Raw Data'!$L$2:$L$201,0)),"")</f>
        <v>A</v>
      </c>
      <c r="F100" s="18" t="str">
        <f>IFERROR(INDEX('Raw Data'!$C$2:$C$201,MATCH(ROW()-4,'Raw Data'!$L$2:$L$201,0)),"")</f>
        <v>Registered</v>
      </c>
      <c r="G100" s="18" t="str">
        <f>IFERROR(INDEX('Raw Data'!$K$2:$K$201,MATCH(ROW()-4,'Raw Data'!$L$2:$L$201,0)),"")</f>
        <v>Follow up on absence</v>
      </c>
      <c r="H100" s="18" t="str">
        <f t="shared" si="9"/>
        <v>High</v>
      </c>
      <c r="I100" s="18" t="str">
        <f t="shared" si="10"/>
        <v>Learning Ops</v>
      </c>
      <c r="J100" s="19">
        <f>IFERROR(INDEX('Raw Data'!$G$2:$G$201,MATCH(ROW()-4,'Raw Data'!$L$2:$L$201,0))+7,"")</f>
        <v>46177</v>
      </c>
      <c r="K100" s="18" t="str">
        <f t="shared" si="11"/>
        <v>Open</v>
      </c>
    </row>
    <row r="101" spans="1:11" x14ac:dyDescent="0.3">
      <c r="A101" s="18" t="str">
        <f t="shared" si="8"/>
        <v>ACT-097</v>
      </c>
      <c r="B101" s="18" t="str">
        <f>IFERROR(INDEX('Raw Data'!$A$2:$A$201,MATCH(ROW()-4,'Raw Data'!$L$2:$L$201,0)),"")</f>
        <v>P189</v>
      </c>
      <c r="C101" s="15" t="str">
        <f>IFERROR(INDEX('Raw Data'!$B$2:$B$201,MATCH(ROW()-4,'Raw Data'!$L$2:$L$201,0)),"")</f>
        <v>Meera Sharma</v>
      </c>
      <c r="D101" s="18" t="str">
        <f>IFERROR(INDEX('Raw Data'!$D$2:$D$201,MATCH(ROW()-4,'Raw Data'!$L$2:$L$201,0)),"")</f>
        <v>Communication Skills</v>
      </c>
      <c r="E101" s="18" t="str">
        <f>IFERROR(INDEX('Raw Data'!$E$2:$E$201,MATCH(ROW()-4,'Raw Data'!$L$2:$L$201,0)),"")</f>
        <v>A</v>
      </c>
      <c r="F101" s="18" t="str">
        <f>IFERROR(INDEX('Raw Data'!$C$2:$C$201,MATCH(ROW()-4,'Raw Data'!$L$2:$L$201,0)),"")</f>
        <v>Registered</v>
      </c>
      <c r="G101" s="18" t="str">
        <f>IFERROR(INDEX('Raw Data'!$K$2:$K$201,MATCH(ROW()-4,'Raw Data'!$L$2:$L$201,0)),"")</f>
        <v>Follow up on absence</v>
      </c>
      <c r="H101" s="18" t="str">
        <f t="shared" si="9"/>
        <v>High</v>
      </c>
      <c r="I101" s="18" t="str">
        <f t="shared" si="10"/>
        <v>Learning Ops</v>
      </c>
      <c r="J101" s="19">
        <f>IFERROR(INDEX('Raw Data'!$G$2:$G$201,MATCH(ROW()-4,'Raw Data'!$L$2:$L$201,0))+7,"")</f>
        <v>46177</v>
      </c>
      <c r="K101" s="18" t="str">
        <f t="shared" si="11"/>
        <v>Open</v>
      </c>
    </row>
    <row r="102" spans="1:11" x14ac:dyDescent="0.3">
      <c r="A102" s="18" t="str">
        <f t="shared" si="8"/>
        <v>ACT-098</v>
      </c>
      <c r="B102" s="18" t="str">
        <f>IFERROR(INDEX('Raw Data'!$A$2:$A$201,MATCH(ROW()-4,'Raw Data'!$L$2:$L$201,0)),"")</f>
        <v>P190</v>
      </c>
      <c r="C102" s="15" t="str">
        <f>IFERROR(INDEX('Raw Data'!$B$2:$B$201,MATCH(ROW()-4,'Raw Data'!$L$2:$L$201,0)),"")</f>
        <v>Saanvi Gupta</v>
      </c>
      <c r="D102" s="18" t="str">
        <f>IFERROR(INDEX('Raw Data'!$D$2:$D$201,MATCH(ROW()-4,'Raw Data'!$L$2:$L$201,0)),"")</f>
        <v>SQL for Beginners</v>
      </c>
      <c r="E102" s="18" t="str">
        <f>IFERROR(INDEX('Raw Data'!$E$2:$E$201,MATCH(ROW()-4,'Raw Data'!$L$2:$L$201,0)),"")</f>
        <v>A</v>
      </c>
      <c r="F102" s="18" t="str">
        <f>IFERROR(INDEX('Raw Data'!$C$2:$C$201,MATCH(ROW()-4,'Raw Data'!$L$2:$L$201,0)),"")</f>
        <v>Waitlisted</v>
      </c>
      <c r="G102" s="18" t="str">
        <f>IFERROR(INDEX('Raw Data'!$K$2:$K$201,MATCH(ROW()-4,'Raw Data'!$L$2:$L$201,0)),"")</f>
        <v>Resolve waitlist</v>
      </c>
      <c r="H102" s="18" t="str">
        <f t="shared" si="9"/>
        <v>High</v>
      </c>
      <c r="I102" s="18" t="str">
        <f t="shared" si="10"/>
        <v>Program Coordinator</v>
      </c>
      <c r="J102" s="19">
        <f>IFERROR(INDEX('Raw Data'!$G$2:$G$201,MATCH(ROW()-4,'Raw Data'!$L$2:$L$201,0))+7,"")</f>
        <v>46201</v>
      </c>
      <c r="K102" s="18" t="str">
        <f t="shared" si="11"/>
        <v>Open</v>
      </c>
    </row>
    <row r="103" spans="1:11" x14ac:dyDescent="0.3">
      <c r="A103" s="18" t="str">
        <f t="shared" si="8"/>
        <v>ACT-099</v>
      </c>
      <c r="B103" s="18" t="str">
        <f>IFERROR(INDEX('Raw Data'!$A$2:$A$201,MATCH(ROW()-4,'Raw Data'!$L$2:$L$201,0)),"")</f>
        <v>P191</v>
      </c>
      <c r="C103" s="15" t="str">
        <f>IFERROR(INDEX('Raw Data'!$B$2:$B$201,MATCH(ROW()-4,'Raw Data'!$L$2:$L$201,0)),"")</f>
        <v>Kiran Menon</v>
      </c>
      <c r="D103" s="18" t="str">
        <f>IFERROR(INDEX('Raw Data'!$D$2:$D$201,MATCH(ROW()-4,'Raw Data'!$L$2:$L$201,0)),"")</f>
        <v>Data Analytics Basics</v>
      </c>
      <c r="E103" s="18" t="str">
        <f>IFERROR(INDEX('Raw Data'!$E$2:$E$201,MATCH(ROW()-4,'Raw Data'!$L$2:$L$201,0)),"")</f>
        <v>D</v>
      </c>
      <c r="F103" s="18" t="str">
        <f>IFERROR(INDEX('Raw Data'!$C$2:$C$201,MATCH(ROW()-4,'Raw Data'!$L$2:$L$201,0)),"")</f>
        <v>Registered</v>
      </c>
      <c r="G103" s="18" t="str">
        <f>IFERROR(INDEX('Raw Data'!$K$2:$K$201,MATCH(ROW()-4,'Raw Data'!$L$2:$L$201,0)),"")</f>
        <v>Send completion certificate</v>
      </c>
      <c r="H103" s="18" t="str">
        <f t="shared" si="9"/>
        <v>Medium</v>
      </c>
      <c r="I103" s="18" t="str">
        <f t="shared" si="10"/>
        <v>Learning Ops</v>
      </c>
      <c r="J103" s="19">
        <f>IFERROR(INDEX('Raw Data'!$G$2:$G$201,MATCH(ROW()-4,'Raw Data'!$L$2:$L$201,0))+7,"")</f>
        <v>46174</v>
      </c>
      <c r="K103" s="18" t="str">
        <f t="shared" si="11"/>
        <v>Open</v>
      </c>
    </row>
    <row r="104" spans="1:11" x14ac:dyDescent="0.3">
      <c r="A104" s="18" t="str">
        <f t="shared" si="8"/>
        <v>ACT-100</v>
      </c>
      <c r="B104" s="18" t="str">
        <f>IFERROR(INDEX('Raw Data'!$A$2:$A$201,MATCH(ROW()-4,'Raw Data'!$L$2:$L$201,0)),"")</f>
        <v>P198</v>
      </c>
      <c r="C104" s="15" t="str">
        <f>IFERROR(INDEX('Raw Data'!$B$2:$B$201,MATCH(ROW()-4,'Raw Data'!$L$2:$L$201,0)),"")</f>
        <v>Vijay Naidu</v>
      </c>
      <c r="D104" s="18" t="str">
        <f>IFERROR(INDEX('Raw Data'!$D$2:$D$201,MATCH(ROW()-4,'Raw Data'!$L$2:$L$201,0)),"")</f>
        <v>Communication Skills</v>
      </c>
      <c r="E104" s="18" t="str">
        <f>IFERROR(INDEX('Raw Data'!$E$2:$E$201,MATCH(ROW()-4,'Raw Data'!$L$2:$L$201,0)),"")</f>
        <v>B</v>
      </c>
      <c r="F104" s="18" t="str">
        <f>IFERROR(INDEX('Raw Data'!$C$2:$C$201,MATCH(ROW()-4,'Raw Data'!$L$2:$L$201,0)),"")</f>
        <v>Registered</v>
      </c>
      <c r="G104" s="18" t="str">
        <f>IFERROR(INDEX('Raw Data'!$K$2:$K$201,MATCH(ROW()-4,'Raw Data'!$L$2:$L$201,0)),"")</f>
        <v>Send completion certificate</v>
      </c>
      <c r="H104" s="18" t="str">
        <f t="shared" si="9"/>
        <v>Medium</v>
      </c>
      <c r="I104" s="18" t="str">
        <f t="shared" si="10"/>
        <v>Learning Ops</v>
      </c>
      <c r="J104" s="19">
        <f>IFERROR(INDEX('Raw Data'!$G$2:$G$201,MATCH(ROW()-4,'Raw Data'!$L$2:$L$201,0))+7,"")</f>
        <v>46180</v>
      </c>
      <c r="K104" s="18" t="str">
        <f t="shared" si="11"/>
        <v>Open</v>
      </c>
    </row>
    <row r="105" spans="1:11" x14ac:dyDescent="0.3">
      <c r="A105" s="18" t="str">
        <f t="shared" si="8"/>
        <v>ACT-101</v>
      </c>
      <c r="B105" s="18" t="str">
        <f>IFERROR(INDEX('Raw Data'!$A$2:$A$201,MATCH(ROW()-4,'Raw Data'!$L$2:$L$201,0)),"")</f>
        <v>P200</v>
      </c>
      <c r="C105" s="15" t="str">
        <f>IFERROR(INDEX('Raw Data'!$B$2:$B$201,MATCH(ROW()-4,'Raw Data'!$L$2:$L$201,0)),"")</f>
        <v>Suresh Menon</v>
      </c>
      <c r="D105" s="18" t="str">
        <f>IFERROR(INDEX('Raw Data'!$D$2:$D$201,MATCH(ROW()-4,'Raw Data'!$L$2:$L$201,0)),"")</f>
        <v>SQL for Beginners</v>
      </c>
      <c r="E105" s="18" t="str">
        <f>IFERROR(INDEX('Raw Data'!$E$2:$E$201,MATCH(ROW()-4,'Raw Data'!$L$2:$L$201,0)),"")</f>
        <v>A</v>
      </c>
      <c r="F105" s="18" t="str">
        <f>IFERROR(INDEX('Raw Data'!$C$2:$C$201,MATCH(ROW()-4,'Raw Data'!$L$2:$L$201,0)),"")</f>
        <v>Waitlisted</v>
      </c>
      <c r="G105" s="18" t="str">
        <f>IFERROR(INDEX('Raw Data'!$K$2:$K$201,MATCH(ROW()-4,'Raw Data'!$L$2:$L$201,0)),"")</f>
        <v>Resolve waitlist</v>
      </c>
      <c r="H105" s="18" t="str">
        <f t="shared" si="9"/>
        <v>High</v>
      </c>
      <c r="I105" s="18" t="str">
        <f t="shared" si="10"/>
        <v>Program Coordinator</v>
      </c>
      <c r="J105" s="19">
        <f>IFERROR(INDEX('Raw Data'!$G$2:$G$201,MATCH(ROW()-4,'Raw Data'!$L$2:$L$201,0))+7,"")</f>
        <v>46201</v>
      </c>
      <c r="K105" s="18" t="str">
        <f t="shared" si="11"/>
        <v>Open</v>
      </c>
    </row>
  </sheetData>
  <mergeCells count="2">
    <mergeCell ref="A1:K1"/>
    <mergeCell ref="A2:K2"/>
  </mergeCells>
  <conditionalFormatting sqref="H5:H105">
    <cfRule type="cellIs" dxfId="6" priority="2" operator="equal">
      <formula>"Healthy"</formula>
    </cfRule>
    <cfRule type="cellIs" dxfId="5" priority="3" operator="equal">
      <formula>"Monitor"</formula>
    </cfRule>
    <cfRule type="cellIs" dxfId="4" priority="4" operator="equal">
      <formula>"Action Required"</formula>
    </cfRule>
    <cfRule type="cellIs" dxfId="3" priority="5" operator="equal">
      <formula>"Positive"</formula>
    </cfRule>
    <cfRule type="cellIs" dxfId="2" priority="6" operator="equal">
      <formula>"High"</formula>
    </cfRule>
    <cfRule type="cellIs" dxfId="1" priority="7" operator="equal">
      <formula>"Medium"</formula>
    </cfRule>
  </conditionalFormatting>
  <conditionalFormatting sqref="K5:K105">
    <cfRule type="cellIs" dxfId="0" priority="8" operator="equal">
      <formula>"Open"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Learning Operations Dashboard</vt:lpstr>
      <vt:lpstr>Raw Data</vt:lpstr>
      <vt:lpstr>Registration Tracker</vt:lpstr>
      <vt:lpstr>Course Schedule</vt:lpstr>
      <vt:lpstr>Attendance Tracker</vt:lpstr>
      <vt:lpstr>Completion Dashboard</vt:lpstr>
      <vt:lpstr>Exception &amp; Action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Nagashree M</cp:lastModifiedBy>
  <cp:revision>0</cp:revision>
  <dcterms:created xsi:type="dcterms:W3CDTF">2026-09-05T06:48:37Z</dcterms:created>
  <dcterms:modified xsi:type="dcterms:W3CDTF">2026-09-05T07:28:39Z</dcterms:modified>
  <dc:language>en-US</dc:language>
</cp:coreProperties>
</file>